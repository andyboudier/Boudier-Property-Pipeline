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/>
  <workbookPr/>
  <mc:AlternateContent xmlns:mc="http://schemas.openxmlformats.org/markup-compatibility/2006">
    <mc:Choice Requires="x15">
      <x15ac:absPath xmlns:x15ac="http://schemas.microsoft.com/office/spreadsheetml/2010/11/ac" url="/Users/andy/Downloads/"/>
    </mc:Choice>
  </mc:AlternateContent>
  <xr:revisionPtr revIDLastSave="0" documentId="8_{101886CF-9314-8C4C-9D7E-BB2C458F3AD8}" xr6:coauthVersionLast="47" xr6:coauthVersionMax="47" xr10:uidLastSave="{00000000-0000-0000-0000-000000000000}"/>
  <bookViews>
    <workbookView xWindow="0" yWindow="1260" windowWidth="30240" windowHeight="15900" xr2:uid="{00000000-000D-0000-FFFF-FFFF00000000}"/>
  </bookViews>
  <sheets>
    <sheet name="IPAD Foundation" sheetId="1" r:id="rId1"/>
  </sheets>
  <definedNames>
    <definedName name="ArchitectsFirstStagePercentage">#REF!</definedName>
    <definedName name="ArchitectsSecondStagePercentage">#REF!</definedName>
    <definedName name="AsbestosCharge">#REF!</definedName>
    <definedName name="Bookkeeping">#REF!</definedName>
    <definedName name="BridgingInterestRate">#REF!</definedName>
    <definedName name="BrokerFeePercentage">#REF!</definedName>
    <definedName name="BuildCostMultiplier">#REF!</definedName>
    <definedName name="BuildCostPerM2">#REF!</definedName>
    <definedName name="BuildingControlCostPerUnit">#REF!</definedName>
    <definedName name="BuildingControlTotalCharge">#REF!</definedName>
    <definedName name="CDMPercentage">#REF!</definedName>
    <definedName name="CIL106Charge">#REF!</definedName>
    <definedName name="ContingencyPercentage">#REF!</definedName>
    <definedName name="ContractAdminPercentage">#REF!</definedName>
    <definedName name="Costs">'IPAD Foundation'!$G$79</definedName>
    <definedName name="CouncilRatesCharge">#REF!</definedName>
    <definedName name="DemolitionCosts">#REF!</definedName>
    <definedName name="DevelopmentFinancingCosts">#REF!</definedName>
    <definedName name="DevelopmentLoan">#REF!</definedName>
    <definedName name="FindersFeeCharge">#REF!</definedName>
    <definedName name="GDV">'IPAD Foundation'!$G$102</definedName>
    <definedName name="IndBuildCostPerM2">#REF!</definedName>
    <definedName name="LandlordSupplyCost">#REF!</definedName>
    <definedName name="LenderAdminFeePercentage">#REF!</definedName>
    <definedName name="LenderValuationFeePercentage">#REF!</definedName>
    <definedName name="LendeValuationFeePercentage">#REF!</definedName>
    <definedName name="ManagementFeeCharge">#REF!</definedName>
    <definedName name="NewBuildCost">#REF!</definedName>
    <definedName name="NoUnits">#REF!</definedName>
    <definedName name="OtherFeesPercentage">#REF!</definedName>
    <definedName name="OverrideCommBuildCost">#REF!</definedName>
    <definedName name="OverrideIndBuildCost">#REF!</definedName>
    <definedName name="OverrideMarker">#REF!</definedName>
    <definedName name="OverrideNewBuildCost">#REF!</definedName>
    <definedName name="PartyWallCharge">#REF!</definedName>
    <definedName name="PlanningFeesPercentage">#REF!</definedName>
    <definedName name="_xlnm.Print_Area" localSheetId="0">'IPAD Foundation'!$A$1:$K$120</definedName>
    <definedName name="_xlnm.Print_Titles" localSheetId="0">'IPAD Foundation'!$1:$1</definedName>
    <definedName name="Profit">'IPAD Foundation'!$G$111</definedName>
    <definedName name="PurchaseFinancingCosts">#REF!</definedName>
    <definedName name="PurchaseLoan">#REF!</definedName>
    <definedName name="PurchasePrice">#REF!</definedName>
    <definedName name="PurchaseSolicitorsCharge">#REF!</definedName>
    <definedName name="RefurbCost">'IPAD Foundation'!$G$37</definedName>
    <definedName name="SAPSCharge">#REF!</definedName>
    <definedName name="SelectedCommBuildCost">#REF!</definedName>
    <definedName name="SelectedIndBuildCost">#REF!</definedName>
    <definedName name="SelectedNewBuildCost">#REF!</definedName>
    <definedName name="StampDutyPercentage">#REF!</definedName>
    <definedName name="TotalConstructionCost">#REF!</definedName>
    <definedName name="TotalSiteAreaM2">#REF!</definedName>
    <definedName name="UtilitiesCharge">#REF!</definedName>
    <definedName name="UtilityCostPerUnit">#REF!</definedName>
    <definedName name="VATatZeroCosts">#REF!</definedName>
    <definedName name="VATRatePercentage">#REF!</definedName>
    <definedName name="WarrantyChar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0" i="1" l="1"/>
  <c r="G102" i="1"/>
  <c r="K8" i="1" s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A65" i="1"/>
  <c r="G58" i="1"/>
  <c r="A55" i="1"/>
  <c r="A54" i="1"/>
  <c r="G53" i="1"/>
  <c r="G56" i="1" s="1"/>
  <c r="G50" i="1"/>
  <c r="G51" i="1" s="1"/>
  <c r="A50" i="1"/>
  <c r="A42" i="1"/>
  <c r="G39" i="1"/>
  <c r="G38" i="1"/>
  <c r="G42" i="1"/>
  <c r="G19" i="1"/>
  <c r="H14" i="1"/>
  <c r="H8" i="1"/>
  <c r="G74" i="1" l="1"/>
  <c r="G75" i="1" s="1"/>
  <c r="G26" i="1"/>
  <c r="G29" i="1"/>
  <c r="G108" i="1"/>
  <c r="G24" i="1"/>
  <c r="G25" i="1"/>
  <c r="G32" i="1"/>
  <c r="G55" i="1"/>
  <c r="H7" i="1"/>
  <c r="G54" i="1"/>
  <c r="G59" i="1" s="1"/>
  <c r="G61" i="1" s="1"/>
  <c r="G22" i="1"/>
  <c r="G23" i="1"/>
  <c r="G46" i="1" l="1"/>
  <c r="G77" i="1" l="1"/>
  <c r="G64" i="1"/>
  <c r="G67" i="1" l="1"/>
  <c r="G66" i="1"/>
  <c r="G69" i="1"/>
  <c r="G65" i="1"/>
  <c r="G70" i="1" s="1"/>
  <c r="G72" i="1" s="1"/>
  <c r="G79" i="1" l="1"/>
  <c r="G109" i="1" s="1"/>
  <c r="G111" i="1" s="1"/>
  <c r="I111" i="1" s="1"/>
  <c r="G78" i="1"/>
  <c r="K7" i="1" l="1"/>
  <c r="K9" i="1" s="1"/>
</calcChain>
</file>

<file path=xl/sharedStrings.xml><?xml version="1.0" encoding="utf-8"?>
<sst xmlns="http://schemas.openxmlformats.org/spreadsheetml/2006/main" count="129" uniqueCount="95">
  <si>
    <t>Initial Project Appraisal Document (IPAD)</t>
  </si>
  <si>
    <t>v4.3 Rev 10/19</t>
  </si>
  <si>
    <t>Project Address:</t>
  </si>
  <si>
    <t>Description:</t>
  </si>
  <si>
    <t>Ref:</t>
  </si>
  <si>
    <t>Appraisal Date:</t>
  </si>
  <si>
    <t>Area:</t>
  </si>
  <si>
    <t>m2</t>
  </si>
  <si>
    <t>GDV:</t>
  </si>
  <si>
    <t>Profit:</t>
  </si>
  <si>
    <t>Project Timescales:</t>
  </si>
  <si>
    <t>Months</t>
  </si>
  <si>
    <t>No. Units</t>
  </si>
  <si>
    <t>% Profit on GDV</t>
  </si>
  <si>
    <t>PROJECT COSTS</t>
  </si>
  <si>
    <t>Item</t>
  </si>
  <si>
    <t>Cost</t>
  </si>
  <si>
    <t>Comments</t>
  </si>
  <si>
    <t>Purchase Cost &amp; Fees</t>
  </si>
  <si>
    <t>Purchase Price</t>
  </si>
  <si>
    <t>per m2</t>
  </si>
  <si>
    <t>Solicitors and Legal Fees</t>
  </si>
  <si>
    <t>Stamp Duty</t>
  </si>
  <si>
    <t>Finder's Fee</t>
  </si>
  <si>
    <t>Management Fee</t>
  </si>
  <si>
    <t>TOTAL PURCHASE COSTS &amp; FEES</t>
  </si>
  <si>
    <t>Construction/Refurbishment Costs</t>
  </si>
  <si>
    <t>Development Management Fee</t>
  </si>
  <si>
    <t>of Total Construction Cost</t>
  </si>
  <si>
    <t>Planning Fees</t>
  </si>
  <si>
    <t>Architect's First Stage</t>
  </si>
  <si>
    <t>Architect &amp; Planning Fees - Second Stage</t>
  </si>
  <si>
    <t>Structural Engineer</t>
  </si>
  <si>
    <t>Party Wall Surveyor</t>
  </si>
  <si>
    <t>TBC</t>
  </si>
  <si>
    <t>SAPS (included builder's costs)</t>
  </si>
  <si>
    <t>Contract Administration by Project Manager</t>
  </si>
  <si>
    <t>Empty Building Rates/Council Tax</t>
  </si>
  <si>
    <t>Building Warranty</t>
  </si>
  <si>
    <t>Circa £1,500/Unit Residential</t>
  </si>
  <si>
    <t>CDM Co-ordinator</t>
  </si>
  <si>
    <t>CIL/106</t>
  </si>
  <si>
    <t>Building Control</t>
  </si>
  <si>
    <t>Demolition Costs</t>
  </si>
  <si>
    <t>Asbestos/contaminant removal</t>
  </si>
  <si>
    <t>Commercial Refurbishment/Construction Cost</t>
  </si>
  <si>
    <t>) These rates are for xxx</t>
  </si>
  <si>
    <t>Industrial Refurbishment/Construction Cost</t>
  </si>
  <si>
    <t>) postcode</t>
  </si>
  <si>
    <t>New Build Cost</t>
  </si>
  <si>
    <t>) specifically</t>
  </si>
  <si>
    <t>Landscaping/External Works</t>
  </si>
  <si>
    <t>Other Costs</t>
  </si>
  <si>
    <t>Utilities</t>
  </si>
  <si>
    <t>Circa £1,000/service/unit</t>
  </si>
  <si>
    <t>Accountancy, Book-keeping etc. for SPV</t>
  </si>
  <si>
    <t>VAT on costs</t>
  </si>
  <si>
    <t>TBC (New build 0%, Refurb 5%, Accountant to advise)</t>
  </si>
  <si>
    <t>TOTAL CONSTRUCTION/REFURBISHMENT COSTS</t>
  </si>
  <si>
    <t>Finance Costs - Purchase</t>
  </si>
  <si>
    <t>Private Finance</t>
  </si>
  <si>
    <t>Months @</t>
  </si>
  <si>
    <t>interest</t>
  </si>
  <si>
    <t>Cost of Private Finance</t>
  </si>
  <si>
    <t>Commercial Finance</t>
  </si>
  <si>
    <t>Lender Admin Fee 1%</t>
  </si>
  <si>
    <t>Lender Valuation Fee</t>
  </si>
  <si>
    <t>Lender Exit Fee 2%</t>
  </si>
  <si>
    <t>Cost of Commercial Finance</t>
  </si>
  <si>
    <t>Total Purchase Financing Costs</t>
  </si>
  <si>
    <t>Finance Costs - Development</t>
  </si>
  <si>
    <t xml:space="preserve">Development Loan </t>
  </si>
  <si>
    <t>Broker Fee (0.5%)</t>
  </si>
  <si>
    <t>Total Development Financing Costs</t>
  </si>
  <si>
    <t>TOTAL FINANCE COSTS</t>
  </si>
  <si>
    <t>Agent's Selling Fees including legals</t>
  </si>
  <si>
    <t>of GDV</t>
  </si>
  <si>
    <t>TOTAL DISPOSAL COSTS</t>
  </si>
  <si>
    <t>Cost per sqm (excluding finance)</t>
  </si>
  <si>
    <t>Cost per sqm (including finance)</t>
  </si>
  <si>
    <t>Total Cost of Development</t>
  </si>
  <si>
    <t>SALES PROJECTIONS</t>
  </si>
  <si>
    <t>ft2</t>
  </si>
  <si>
    <t>Type</t>
  </si>
  <si>
    <t>Total GDV</t>
  </si>
  <si>
    <t>£/m2</t>
  </si>
  <si>
    <t>Total Development Projected Sale Value (GDV)</t>
  </si>
  <si>
    <t>Valuation Report:</t>
  </si>
  <si>
    <t>Total Development Profit</t>
  </si>
  <si>
    <t>Total Projected Sale Value</t>
  </si>
  <si>
    <t>VAT</t>
  </si>
  <si>
    <t>Net Profit</t>
  </si>
  <si>
    <t>Submitted &amp; Reviewed By:</t>
  </si>
  <si>
    <t>Signed:</t>
  </si>
  <si>
    <t>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</si>
</sst>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\£#,##0"/>
    <numFmt numFmtId="165" formatCode="\£#,##0.00"/>
    <numFmt numFmtId="166" formatCode="_-[$£-809]* #,##0_-;\-[$£-809]* #,##0_-;_-[$£-809]* &quot;-&quot;??_-;_-@_-"/>
    <numFmt numFmtId="167" formatCode="[$£-809]#,##0"/>
    <numFmt numFmtId="168" formatCode="_(&quot;£&quot;* #,##0_);_(&quot;£&quot;* \(#,##0\);_(&quot;£&quot;* &quot;-&quot;??_);_(@_)"/>
    <numFmt numFmtId="169" formatCode="_-[$£-809]* #,##0.00_-;\-[$£-809]* #,##0.00_-;_-[$£-809]* &quot;-&quot;??_-;_-@_-"/>
    <numFmt numFmtId="170" formatCode="0.0%"/>
    <numFmt numFmtId="171" formatCode="dd/mm/yy;@"/>
  </numFmts>
  <fonts count="29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0"/>
      <color rgb="FF000000"/>
      <name val="Arial"/>
      <family val="2"/>
      <charset val="1"/>
    </font>
    <font>
      <b/>
      <u/>
      <sz val="11"/>
      <color rgb="FF000000"/>
      <name val="Calibri"/>
      <family val="2"/>
      <charset val="1"/>
    </font>
    <font>
      <b/>
      <u/>
      <sz val="11"/>
      <name val="Calibri"/>
      <family val="2"/>
      <charset val="1"/>
    </font>
    <font>
      <sz val="11"/>
      <name val="Calibri"/>
      <family val="2"/>
      <charset val="1"/>
    </font>
    <font>
      <u/>
      <sz val="11"/>
      <color rgb="FF000000"/>
      <name val="Calibri"/>
      <family val="2"/>
      <charset val="1"/>
    </font>
    <font>
      <b/>
      <sz val="18"/>
      <color rgb="FF000000"/>
      <name val="Calibri"/>
      <family val="2"/>
    </font>
    <font>
      <b/>
      <sz val="16"/>
      <color rgb="FF000000"/>
      <name val="Calibri"/>
      <family val="2"/>
    </font>
    <font>
      <b/>
      <u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  <charset val="1"/>
    </font>
    <font>
      <i/>
      <sz val="11"/>
      <color rgb="FF000000"/>
      <name val="Calibri"/>
      <family val="2"/>
      <charset val="1"/>
    </font>
    <font>
      <b/>
      <u/>
      <sz val="16"/>
      <color rgb="FF000000"/>
      <name val="Calibri"/>
      <family val="2"/>
    </font>
    <font>
      <b/>
      <u/>
      <sz val="14"/>
      <color rgb="FF000000"/>
      <name val="Calibri"/>
      <family val="2"/>
      <charset val="1"/>
    </font>
    <font>
      <b/>
      <u/>
      <sz val="14"/>
      <name val="Calibri"/>
      <family val="2"/>
      <charset val="1"/>
    </font>
    <font>
      <u/>
      <sz val="14"/>
      <color rgb="FF000000"/>
      <name val="Calibri"/>
      <family val="2"/>
      <charset val="1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name val="Calibri"/>
      <family val="2"/>
    </font>
    <font>
      <u/>
      <sz val="11"/>
      <color theme="10"/>
      <name val="Calibri"/>
      <family val="2"/>
      <charset val="1"/>
    </font>
    <font>
      <u/>
      <sz val="11"/>
      <color theme="11"/>
      <name val="Calibri"/>
      <family val="2"/>
      <charset val="1"/>
    </font>
    <font>
      <b/>
      <sz val="22"/>
      <color rgb="FF000000"/>
      <name val="Calibri"/>
      <family val="2"/>
    </font>
    <font>
      <b/>
      <sz val="16"/>
      <color rgb="FFFF0000"/>
      <name val="Calibri"/>
      <family val="2"/>
    </font>
    <font>
      <b/>
      <sz val="36"/>
      <color theme="0"/>
      <name val="Calibri"/>
      <family val="2"/>
    </font>
    <font>
      <b/>
      <sz val="22"/>
      <name val="Calibri"/>
      <family val="2"/>
    </font>
    <font>
      <b/>
      <u/>
      <sz val="12"/>
      <color rgb="FF000000"/>
      <name val="Calibri"/>
      <family val="2"/>
    </font>
    <font>
      <i/>
      <sz val="2"/>
      <color theme="2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2F4B2C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9" fontId="11" fillId="0" borderId="0"/>
    <xf numFmtId="0" fontId="21" fillId="0" borderId="0"/>
    <xf numFmtId="0" fontId="22" fillId="0" borderId="0"/>
  </cellStyleXfs>
  <cellXfs count="141">
    <xf numFmtId="0" fontId="0" fillId="0" borderId="0" xfId="0"/>
    <xf numFmtId="0" fontId="4" fillId="0" borderId="0" xfId="0" applyFont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8" fillId="0" borderId="0" xfId="0" applyFont="1"/>
    <xf numFmtId="165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166" fontId="0" fillId="0" borderId="0" xfId="0" applyNumberFormat="1"/>
    <xf numFmtId="0" fontId="0" fillId="0" borderId="0" xfId="0" applyAlignment="1">
      <alignment horizontal="center" vertical="center"/>
    </xf>
    <xf numFmtId="167" fontId="2" fillId="0" borderId="1" xfId="0" applyNumberFormat="1" applyFont="1" applyBorder="1" applyAlignment="1">
      <alignment vertical="top" wrapText="1"/>
    </xf>
    <xf numFmtId="167" fontId="2" fillId="0" borderId="0" xfId="0" applyNumberFormat="1" applyFont="1" applyAlignment="1">
      <alignment vertical="top" wrapText="1"/>
    </xf>
    <xf numFmtId="3" fontId="0" fillId="0" borderId="0" xfId="0" applyNumberFormat="1" applyAlignment="1">
      <alignment horizontal="center"/>
    </xf>
    <xf numFmtId="9" fontId="0" fillId="0" borderId="0" xfId="0" applyNumberFormat="1"/>
    <xf numFmtId="0" fontId="7" fillId="3" borderId="3" xfId="0" applyFont="1" applyFill="1" applyBorder="1"/>
    <xf numFmtId="0" fontId="19" fillId="3" borderId="5" xfId="0" applyFont="1" applyFill="1" applyBorder="1"/>
    <xf numFmtId="166" fontId="19" fillId="3" borderId="5" xfId="0" applyNumberFormat="1" applyFont="1" applyFill="1" applyBorder="1"/>
    <xf numFmtId="0" fontId="19" fillId="3" borderId="4" xfId="0" applyFont="1" applyFill="1" applyBorder="1"/>
    <xf numFmtId="0" fontId="3" fillId="3" borderId="9" xfId="0" applyFont="1" applyFill="1" applyBorder="1"/>
    <xf numFmtId="0" fontId="0" fillId="3" borderId="0" xfId="0" applyFill="1"/>
    <xf numFmtId="0" fontId="0" fillId="3" borderId="10" xfId="0" applyFill="1" applyBorder="1"/>
    <xf numFmtId="0" fontId="16" fillId="3" borderId="9" xfId="0" applyFont="1" applyFill="1" applyBorder="1"/>
    <xf numFmtId="0" fontId="17" fillId="3" borderId="0" xfId="0" applyFont="1" applyFill="1"/>
    <xf numFmtId="0" fontId="6" fillId="3" borderId="0" xfId="0" applyFont="1" applyFill="1"/>
    <xf numFmtId="166" fontId="0" fillId="4" borderId="0" xfId="0" applyNumberFormat="1" applyFill="1"/>
    <xf numFmtId="166" fontId="1" fillId="4" borderId="0" xfId="0" applyNumberFormat="1" applyFont="1" applyFill="1"/>
    <xf numFmtId="0" fontId="10" fillId="2" borderId="3" xfId="0" applyFont="1" applyFill="1" applyBorder="1"/>
    <xf numFmtId="0" fontId="18" fillId="2" borderId="5" xfId="0" applyFont="1" applyFill="1" applyBorder="1"/>
    <xf numFmtId="0" fontId="18" fillId="2" borderId="4" xfId="0" applyFont="1" applyFill="1" applyBorder="1"/>
    <xf numFmtId="0" fontId="3" fillId="2" borderId="9" xfId="0" applyFont="1" applyFill="1" applyBorder="1"/>
    <xf numFmtId="0" fontId="0" fillId="2" borderId="0" xfId="0" applyFill="1"/>
    <xf numFmtId="0" fontId="0" fillId="2" borderId="10" xfId="0" applyFill="1" applyBorder="1"/>
    <xf numFmtId="0" fontId="0" fillId="2" borderId="9" xfId="0" applyFill="1" applyBorder="1"/>
    <xf numFmtId="0" fontId="13" fillId="2" borderId="0" xfId="0" applyFont="1" applyFill="1"/>
    <xf numFmtId="0" fontId="1" fillId="2" borderId="9" xfId="0" applyFont="1" applyFill="1" applyBorder="1"/>
    <xf numFmtId="0" fontId="1" fillId="2" borderId="0" xfId="0" applyFont="1" applyFill="1"/>
    <xf numFmtId="0" fontId="4" fillId="2" borderId="11" xfId="0" applyFont="1" applyFill="1" applyBorder="1"/>
    <xf numFmtId="0" fontId="6" fillId="2" borderId="12" xfId="0" applyFont="1" applyFill="1" applyBorder="1"/>
    <xf numFmtId="0" fontId="0" fillId="2" borderId="12" xfId="0" applyFill="1" applyBorder="1"/>
    <xf numFmtId="0" fontId="0" fillId="2" borderId="13" xfId="0" applyFill="1" applyBorder="1"/>
    <xf numFmtId="0" fontId="15" fillId="3" borderId="9" xfId="0" applyFont="1" applyFill="1" applyBorder="1"/>
    <xf numFmtId="0" fontId="12" fillId="3" borderId="0" xfId="0" applyFont="1" applyFill="1"/>
    <xf numFmtId="164" fontId="12" fillId="3" borderId="0" xfId="0" applyNumberFormat="1" applyFont="1" applyFill="1"/>
    <xf numFmtId="164" fontId="12" fillId="3" borderId="0" xfId="0" applyNumberFormat="1" applyFont="1" applyFill="1" applyAlignment="1">
      <alignment horizontal="center"/>
    </xf>
    <xf numFmtId="0" fontId="14" fillId="3" borderId="9" xfId="0" applyFont="1" applyFill="1" applyBorder="1"/>
    <xf numFmtId="0" fontId="9" fillId="3" borderId="0" xfId="0" applyFont="1" applyFill="1"/>
    <xf numFmtId="0" fontId="10" fillId="2" borderId="4" xfId="0" applyFont="1" applyFill="1" applyBorder="1"/>
    <xf numFmtId="0" fontId="10" fillId="2" borderId="5" xfId="0" applyFont="1" applyFill="1" applyBorder="1"/>
    <xf numFmtId="1" fontId="10" fillId="2" borderId="5" xfId="0" applyNumberFormat="1" applyFont="1" applyFill="1" applyBorder="1" applyAlignment="1">
      <alignment horizontal="center" vertic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0" fontId="0" fillId="2" borderId="11" xfId="0" applyFill="1" applyBorder="1"/>
    <xf numFmtId="0" fontId="11" fillId="2" borderId="9" xfId="0" applyFont="1" applyFill="1" applyBorder="1"/>
    <xf numFmtId="0" fontId="11" fillId="2" borderId="0" xfId="0" applyFont="1" applyFill="1"/>
    <xf numFmtId="0" fontId="0" fillId="3" borderId="5" xfId="0" applyFill="1" applyBorder="1"/>
    <xf numFmtId="166" fontId="0" fillId="3" borderId="5" xfId="0" applyNumberFormat="1" applyFill="1" applyBorder="1"/>
    <xf numFmtId="1" fontId="0" fillId="3" borderId="5" xfId="0" applyNumberFormat="1" applyFill="1" applyBorder="1" applyAlignment="1">
      <alignment horizontal="center" vertical="center"/>
    </xf>
    <xf numFmtId="0" fontId="0" fillId="3" borderId="4" xfId="0" applyFill="1" applyBorder="1"/>
    <xf numFmtId="0" fontId="0" fillId="0" borderId="6" xfId="0" applyBorder="1"/>
    <xf numFmtId="166" fontId="0" fillId="0" borderId="7" xfId="0" applyNumberFormat="1" applyBorder="1"/>
    <xf numFmtId="166" fontId="0" fillId="0" borderId="0" xfId="0" applyNumberFormat="1" applyAlignment="1">
      <alignment vertical="center"/>
    </xf>
    <xf numFmtId="166" fontId="1" fillId="3" borderId="0" xfId="0" applyNumberFormat="1" applyFont="1" applyFill="1"/>
    <xf numFmtId="0" fontId="7" fillId="0" borderId="0" xfId="0" applyFont="1"/>
    <xf numFmtId="166" fontId="8" fillId="5" borderId="1" xfId="0" applyNumberFormat="1" applyFont="1" applyFill="1" applyBorder="1"/>
    <xf numFmtId="166" fontId="10" fillId="6" borderId="1" xfId="0" applyNumberFormat="1" applyFont="1" applyFill="1" applyBorder="1"/>
    <xf numFmtId="0" fontId="23" fillId="0" borderId="0" xfId="0" applyFont="1"/>
    <xf numFmtId="0" fontId="8" fillId="0" borderId="0" xfId="0" applyFont="1" applyAlignment="1">
      <alignment horizontal="right"/>
    </xf>
    <xf numFmtId="0" fontId="8" fillId="0" borderId="0" xfId="0" applyFont="1" applyAlignment="1">
      <alignment vertical="center"/>
    </xf>
    <xf numFmtId="168" fontId="8" fillId="0" borderId="1" xfId="0" applyNumberFormat="1" applyFont="1" applyBorder="1" applyAlignment="1">
      <alignment horizontal="center" vertical="center"/>
    </xf>
    <xf numFmtId="0" fontId="0" fillId="2" borderId="0" xfId="0" quotePrefix="1" applyFill="1"/>
    <xf numFmtId="0" fontId="0" fillId="3" borderId="17" xfId="0" applyFill="1" applyBorder="1"/>
    <xf numFmtId="0" fontId="10" fillId="2" borderId="3" xfId="0" applyFont="1" applyFill="1" applyBorder="1" applyAlignment="1">
      <alignment horizontal="center"/>
    </xf>
    <xf numFmtId="166" fontId="10" fillId="2" borderId="2" xfId="0" applyNumberFormat="1" applyFont="1" applyFill="1" applyBorder="1" applyAlignment="1">
      <alignment horizontal="center"/>
    </xf>
    <xf numFmtId="0" fontId="19" fillId="0" borderId="9" xfId="0" applyFont="1" applyBorder="1"/>
    <xf numFmtId="0" fontId="19" fillId="0" borderId="0" xfId="0" applyFont="1"/>
    <xf numFmtId="166" fontId="19" fillId="0" borderId="0" xfId="0" applyNumberFormat="1" applyFont="1"/>
    <xf numFmtId="0" fontId="19" fillId="0" borderId="11" xfId="0" applyFont="1" applyBorder="1"/>
    <xf numFmtId="0" fontId="19" fillId="0" borderId="12" xfId="0" applyFont="1" applyBorder="1"/>
    <xf numFmtId="166" fontId="19" fillId="0" borderId="12" xfId="0" applyNumberFormat="1" applyFont="1" applyBorder="1"/>
    <xf numFmtId="166" fontId="10" fillId="4" borderId="2" xfId="0" applyNumberFormat="1" applyFont="1" applyFill="1" applyBorder="1" applyAlignment="1">
      <alignment horizontal="center"/>
    </xf>
    <xf numFmtId="0" fontId="24" fillId="0" borderId="0" xfId="0" applyFont="1"/>
    <xf numFmtId="0" fontId="14" fillId="3" borderId="9" xfId="0" applyFont="1" applyFill="1" applyBorder="1" applyAlignment="1">
      <alignment horizontal="right"/>
    </xf>
    <xf numFmtId="3" fontId="8" fillId="0" borderId="0" xfId="0" applyNumberFormat="1" applyFont="1" applyAlignment="1">
      <alignment horizontal="center" vertical="center"/>
    </xf>
    <xf numFmtId="37" fontId="8" fillId="0" borderId="0" xfId="0" applyNumberFormat="1" applyFont="1" applyAlignment="1">
      <alignment horizontal="center"/>
    </xf>
    <xf numFmtId="169" fontId="0" fillId="0" borderId="0" xfId="0" applyNumberFormat="1"/>
    <xf numFmtId="0" fontId="8" fillId="3" borderId="0" xfId="0" applyFont="1" applyFill="1"/>
    <xf numFmtId="0" fontId="5" fillId="2" borderId="9" xfId="0" applyFont="1" applyFill="1" applyBorder="1"/>
    <xf numFmtId="164" fontId="0" fillId="7" borderId="1" xfId="0" applyNumberFormat="1" applyFill="1" applyBorder="1"/>
    <xf numFmtId="166" fontId="10" fillId="8" borderId="1" xfId="0" applyNumberFormat="1" applyFont="1" applyFill="1" applyBorder="1" applyAlignment="1">
      <alignment horizontal="center"/>
    </xf>
    <xf numFmtId="166" fontId="10" fillId="2" borderId="2" xfId="0" applyNumberFormat="1" applyFont="1" applyFill="1" applyBorder="1"/>
    <xf numFmtId="166" fontId="0" fillId="2" borderId="0" xfId="0" applyNumberFormat="1" applyFill="1"/>
    <xf numFmtId="166" fontId="3" fillId="2" borderId="0" xfId="0" applyNumberFormat="1" applyFont="1" applyFill="1"/>
    <xf numFmtId="166" fontId="1" fillId="2" borderId="0" xfId="0" applyNumberFormat="1" applyFont="1" applyFill="1"/>
    <xf numFmtId="166" fontId="3" fillId="2" borderId="12" xfId="0" applyNumberFormat="1" applyFont="1" applyFill="1" applyBorder="1"/>
    <xf numFmtId="166" fontId="3" fillId="2" borderId="0" xfId="0" applyNumberFormat="1" applyFont="1" applyFill="1" applyAlignment="1">
      <alignment horizontal="center"/>
    </xf>
    <xf numFmtId="166" fontId="0" fillId="2" borderId="12" xfId="0" applyNumberFormat="1" applyFill="1" applyBorder="1"/>
    <xf numFmtId="166" fontId="11" fillId="4" borderId="1" xfId="0" applyNumberFormat="1" applyFont="1" applyFill="1" applyBorder="1"/>
    <xf numFmtId="170" fontId="8" fillId="0" borderId="1" xfId="1" applyNumberFormat="1" applyFont="1" applyBorder="1" applyAlignment="1">
      <alignment horizontal="center" vertical="center"/>
    </xf>
    <xf numFmtId="0" fontId="27" fillId="2" borderId="9" xfId="0" applyFont="1" applyFill="1" applyBorder="1"/>
    <xf numFmtId="0" fontId="7" fillId="0" borderId="19" xfId="0" applyFont="1" applyBorder="1" applyAlignment="1">
      <alignment horizontal="right" vertical="center"/>
    </xf>
    <xf numFmtId="0" fontId="8" fillId="0" borderId="9" xfId="0" applyFont="1" applyBorder="1"/>
    <xf numFmtId="166" fontId="8" fillId="0" borderId="0" xfId="0" applyNumberFormat="1" applyFont="1"/>
    <xf numFmtId="169" fontId="0" fillId="4" borderId="0" xfId="0" applyNumberFormat="1" applyFill="1"/>
    <xf numFmtId="170" fontId="8" fillId="5" borderId="1" xfId="1" applyNumberFormat="1" applyFont="1" applyFill="1" applyBorder="1"/>
    <xf numFmtId="0" fontId="7" fillId="7" borderId="16" xfId="0" applyFont="1" applyFill="1" applyBorder="1" applyAlignment="1" applyProtection="1">
      <alignment vertical="center"/>
      <protection locked="0"/>
    </xf>
    <xf numFmtId="3" fontId="8" fillId="7" borderId="1" xfId="0" applyNumberFormat="1" applyFont="1" applyFill="1" applyBorder="1" applyAlignment="1" applyProtection="1">
      <alignment horizontal="center" vertical="center"/>
      <protection locked="0"/>
    </xf>
    <xf numFmtId="166" fontId="0" fillId="7" borderId="0" xfId="0" applyNumberFormat="1" applyFill="1" applyProtection="1">
      <protection locked="0"/>
    </xf>
    <xf numFmtId="170" fontId="0" fillId="7" borderId="1" xfId="0" applyNumberFormat="1" applyFill="1" applyBorder="1" applyProtection="1">
      <protection locked="0"/>
    </xf>
    <xf numFmtId="0" fontId="0" fillId="2" borderId="0" xfId="0" quotePrefix="1" applyFill="1" applyProtection="1">
      <protection locked="0"/>
    </xf>
    <xf numFmtId="3" fontId="0" fillId="7" borderId="1" xfId="0" applyNumberFormat="1" applyFill="1" applyBorder="1" applyProtection="1">
      <protection locked="0"/>
    </xf>
    <xf numFmtId="3" fontId="0" fillId="7" borderId="18" xfId="0" applyNumberFormat="1" applyFill="1" applyBorder="1" applyAlignment="1" applyProtection="1">
      <alignment horizontal="center"/>
      <protection locked="0"/>
    </xf>
    <xf numFmtId="166" fontId="5" fillId="7" borderId="18" xfId="0" applyNumberFormat="1" applyFont="1" applyFill="1" applyBorder="1" applyAlignment="1" applyProtection="1">
      <alignment horizontal="center" wrapText="1"/>
      <protection locked="0"/>
    </xf>
    <xf numFmtId="3" fontId="0" fillId="7" borderId="1" xfId="0" applyNumberFormat="1" applyFill="1" applyBorder="1" applyAlignment="1" applyProtection="1">
      <alignment horizontal="center"/>
      <protection locked="0"/>
    </xf>
    <xf numFmtId="166" fontId="5" fillId="7" borderId="1" xfId="0" applyNumberFormat="1" applyFont="1" applyFill="1" applyBorder="1" applyAlignment="1" applyProtection="1">
      <alignment horizontal="center" wrapText="1"/>
      <protection locked="0"/>
    </xf>
    <xf numFmtId="164" fontId="0" fillId="7" borderId="1" xfId="0" applyNumberFormat="1" applyFill="1" applyBorder="1" applyProtection="1">
      <protection locked="0"/>
    </xf>
    <xf numFmtId="0" fontId="28" fillId="0" borderId="0" xfId="0" applyFont="1" applyAlignment="1">
      <alignment vertical="top"/>
    </xf>
    <xf numFmtId="0" fontId="0" fillId="7" borderId="1" xfId="0" applyFill="1" applyBorder="1" applyAlignment="1" applyProtection="1">
      <alignment horizontal="left"/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168" fontId="8" fillId="0" borderId="1" xfId="0" applyNumberFormat="1" applyFont="1" applyBorder="1" applyAlignment="1">
      <alignment horizontal="center"/>
    </xf>
    <xf numFmtId="0" fontId="0" fillId="0" borderId="16" xfId="0" applyBorder="1"/>
    <xf numFmtId="0" fontId="0" fillId="7" borderId="18" xfId="0" applyFill="1" applyBorder="1" applyAlignment="1" applyProtection="1">
      <alignment horizontal="left"/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25" fillId="9" borderId="1" xfId="0" applyFont="1" applyFill="1" applyBorder="1" applyAlignment="1">
      <alignment horizontal="center" vertical="center"/>
    </xf>
    <xf numFmtId="0" fontId="0" fillId="9" borderId="15" xfId="0" applyFill="1" applyBorder="1"/>
    <xf numFmtId="0" fontId="0" fillId="9" borderId="16" xfId="0" applyFill="1" applyBorder="1"/>
    <xf numFmtId="0" fontId="26" fillId="7" borderId="1" xfId="0" applyFont="1" applyFill="1" applyBorder="1" applyAlignment="1" applyProtection="1">
      <alignment horizontal="center" vertical="center"/>
      <protection locked="0"/>
    </xf>
    <xf numFmtId="37" fontId="8" fillId="0" borderId="1" xfId="0" applyNumberFormat="1" applyFont="1" applyBorder="1" applyAlignment="1">
      <alignment horizontal="center"/>
    </xf>
    <xf numFmtId="0" fontId="7" fillId="7" borderId="14" xfId="0" applyFont="1" applyFill="1" applyBorder="1" applyAlignment="1" applyProtection="1">
      <alignment horizontal="center" vertical="center"/>
      <protection locked="0"/>
    </xf>
    <xf numFmtId="0" fontId="20" fillId="2" borderId="2" xfId="0" applyFont="1" applyFill="1" applyBorder="1" applyAlignment="1">
      <alignment horizontal="center"/>
    </xf>
    <xf numFmtId="0" fontId="0" fillId="0" borderId="5" xfId="0" applyBorder="1"/>
    <xf numFmtId="0" fontId="0" fillId="0" borderId="4" xfId="0" applyBorder="1"/>
    <xf numFmtId="171" fontId="8" fillId="7" borderId="1" xfId="0" applyNumberFormat="1" applyFont="1" applyFill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9" fillId="0" borderId="0" xfId="0" applyFont="1" applyAlignment="1" applyProtection="1">
      <alignment horizontal="left"/>
      <protection locked="0"/>
    </xf>
  </cellXfs>
  <cellStyles count="4">
    <cellStyle name="Followed Hyperlink" xfId="3" builtinId="9" hidden="1"/>
    <cellStyle name="Hyperlink" xfId="2" builtinId="8" hidden="1"/>
    <cellStyle name="Normal" xfId="0" builtinId="0"/>
    <cellStyle name="Per cent" xfId="1" builtinId="5"/>
  </cellStyles>
  <dxfs count="0"/>
  <tableStyles count="0" defaultTableStyle="TableStyleMedium9" defaultPivotStyle="PivotStyleMedium4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E6B9B8"/>
      <rgbColor rgb="FF808080"/>
      <rgbColor rgb="FF95B3D7"/>
      <rgbColor rgb="FF993366"/>
      <rgbColor rgb="FFFFFFCC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EB4E3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0</xdr:row>
      <xdr:rowOff>57150</xdr:rowOff>
    </xdr:from>
    <xdr:ext cx="1504950" cy="14287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3366FF"/>
    <pageSetUpPr fitToPage="1"/>
  </sheetPr>
  <dimension ref="A1:U119"/>
  <sheetViews>
    <sheetView showGridLines="0" tabSelected="1" zoomScale="69" zoomScaleNormal="69" zoomScalePageLayoutView="125" workbookViewId="0">
      <selection activeCell="G36" sqref="G36"/>
    </sheetView>
  </sheetViews>
  <sheetFormatPr baseColWidth="10" defaultColWidth="8.83203125" defaultRowHeight="15"/>
  <cols>
    <col min="1" max="1" width="11.5" bestFit="1" customWidth="1"/>
    <col min="2" max="5" width="8.83203125" customWidth="1"/>
    <col min="6" max="6" width="44.1640625" customWidth="1"/>
    <col min="7" max="7" width="13.5" style="12" bestFit="1" customWidth="1"/>
    <col min="8" max="8" width="6.33203125" customWidth="1"/>
    <col min="9" max="9" width="11" bestFit="1" customWidth="1"/>
    <col min="10" max="10" width="12.1640625" customWidth="1"/>
    <col min="11" max="11" width="20.6640625" customWidth="1"/>
    <col min="12" max="12" width="12.33203125" customWidth="1"/>
    <col min="13" max="13" width="13" customWidth="1"/>
    <col min="14" max="14" width="11.1640625" customWidth="1"/>
    <col min="15" max="15" width="10.83203125" customWidth="1"/>
    <col min="16" max="16" width="10.6640625" customWidth="1"/>
    <col min="17" max="17" width="11" customWidth="1"/>
    <col min="18" max="18" width="8.83203125" customWidth="1"/>
    <col min="19" max="19" width="8.83203125" style="13" customWidth="1"/>
    <col min="20" max="20" width="8.83203125" customWidth="1"/>
  </cols>
  <sheetData>
    <row r="1" spans="1:21" ht="117" customHeight="1"/>
    <row r="2" spans="1:21" ht="46.25" customHeight="1">
      <c r="A2" s="128" t="s">
        <v>0</v>
      </c>
      <c r="B2" s="129"/>
      <c r="C2" s="129"/>
      <c r="D2" s="129"/>
      <c r="E2" s="129"/>
      <c r="F2" s="129"/>
      <c r="G2" s="129"/>
      <c r="H2" s="129"/>
      <c r="I2" s="129"/>
      <c r="J2" s="129"/>
      <c r="K2" s="130"/>
    </row>
    <row r="3" spans="1:21">
      <c r="A3" s="119" t="s">
        <v>1</v>
      </c>
    </row>
    <row r="4" spans="1:21" ht="28.75" customHeight="1">
      <c r="A4" s="69" t="s">
        <v>2</v>
      </c>
      <c r="E4" s="131"/>
      <c r="F4" s="121"/>
      <c r="G4" s="121"/>
      <c r="H4" s="121"/>
      <c r="I4" s="121"/>
      <c r="J4" s="121"/>
      <c r="K4" s="122"/>
      <c r="S4" s="6"/>
      <c r="U4" s="14"/>
    </row>
    <row r="5" spans="1:21" ht="23.5" customHeight="1">
      <c r="A5" s="66" t="s">
        <v>3</v>
      </c>
      <c r="E5" s="133"/>
      <c r="F5" s="121"/>
      <c r="G5" s="121"/>
      <c r="H5" s="121"/>
      <c r="I5" s="121"/>
      <c r="J5" s="103" t="s">
        <v>4</v>
      </c>
      <c r="K5" s="108"/>
      <c r="S5" s="6"/>
      <c r="U5" s="15"/>
    </row>
    <row r="6" spans="1:21" ht="21" customHeight="1">
      <c r="A6" s="4" t="s">
        <v>5</v>
      </c>
      <c r="E6" s="137"/>
      <c r="F6" s="122"/>
      <c r="G6" s="64"/>
      <c r="S6" s="6"/>
      <c r="U6" s="15"/>
    </row>
    <row r="7" spans="1:21" ht="21" customHeight="1">
      <c r="A7" s="4" t="s">
        <v>6</v>
      </c>
      <c r="E7" s="109"/>
      <c r="F7" s="71" t="s">
        <v>7</v>
      </c>
      <c r="G7" s="70" t="s">
        <v>8</v>
      </c>
      <c r="H7" s="123">
        <f>G102</f>
        <v>0</v>
      </c>
      <c r="I7" s="124"/>
      <c r="J7" s="70" t="s">
        <v>9</v>
      </c>
      <c r="K7" s="72">
        <f>G111</f>
        <v>0</v>
      </c>
      <c r="U7" s="15"/>
    </row>
    <row r="8" spans="1:21" ht="21" customHeight="1">
      <c r="A8" s="4" t="s">
        <v>10</v>
      </c>
      <c r="E8" s="109"/>
      <c r="F8" s="71" t="s">
        <v>11</v>
      </c>
      <c r="G8" s="70" t="s">
        <v>12</v>
      </c>
      <c r="H8" s="132">
        <f>SUM(A84:A101)</f>
        <v>0</v>
      </c>
      <c r="I8" s="124"/>
      <c r="J8" s="70" t="s">
        <v>8</v>
      </c>
      <c r="K8" s="72">
        <f>G102</f>
        <v>0</v>
      </c>
      <c r="U8" s="15"/>
    </row>
    <row r="9" spans="1:21" ht="21" customHeight="1">
      <c r="A9" s="4"/>
      <c r="E9" s="86"/>
      <c r="F9" s="71"/>
      <c r="G9" s="70"/>
      <c r="H9" s="87"/>
      <c r="I9" s="87"/>
      <c r="J9" s="70" t="s">
        <v>13</v>
      </c>
      <c r="K9" s="101">
        <f>IF(K7=0,0,K7/K8)</f>
        <v>0</v>
      </c>
      <c r="U9" s="15"/>
    </row>
    <row r="10" spans="1:21" ht="21" customHeight="1" thickBot="1">
      <c r="A10" s="84"/>
      <c r="H10" s="88"/>
      <c r="L10" s="88"/>
      <c r="U10" s="15"/>
    </row>
    <row r="11" spans="1:21" ht="24" customHeight="1" thickBot="1">
      <c r="A11" s="18" t="s">
        <v>14</v>
      </c>
      <c r="B11" s="19"/>
      <c r="C11" s="19"/>
      <c r="D11" s="19"/>
      <c r="E11" s="19"/>
      <c r="F11" s="19"/>
      <c r="G11" s="20"/>
      <c r="H11" s="19"/>
      <c r="I11" s="19"/>
      <c r="J11" s="19"/>
      <c r="K11" s="21"/>
      <c r="U11" s="15"/>
    </row>
    <row r="12" spans="1:21" ht="18.5" customHeight="1" thickBot="1">
      <c r="A12" s="30" t="s">
        <v>15</v>
      </c>
      <c r="B12" s="31"/>
      <c r="C12" s="31"/>
      <c r="D12" s="31"/>
      <c r="E12" s="31"/>
      <c r="F12" s="32"/>
      <c r="G12" s="93" t="s">
        <v>16</v>
      </c>
      <c r="H12" s="30" t="s">
        <v>17</v>
      </c>
      <c r="I12" s="31"/>
      <c r="J12" s="31"/>
      <c r="K12" s="32"/>
      <c r="U12" s="15"/>
    </row>
    <row r="13" spans="1:21">
      <c r="A13" s="33" t="s">
        <v>18</v>
      </c>
      <c r="B13" s="34"/>
      <c r="C13" s="34"/>
      <c r="D13" s="34"/>
      <c r="E13" s="34"/>
      <c r="F13" s="34"/>
      <c r="G13" s="94"/>
      <c r="H13" s="34"/>
      <c r="I13" s="34"/>
      <c r="J13" s="34"/>
      <c r="K13" s="35"/>
      <c r="U13" s="2"/>
    </row>
    <row r="14" spans="1:21">
      <c r="A14" s="36" t="s">
        <v>19</v>
      </c>
      <c r="B14" s="34"/>
      <c r="C14" s="34"/>
      <c r="D14" s="34"/>
      <c r="E14" s="34"/>
      <c r="F14" s="34"/>
      <c r="G14" s="110">
        <v>0</v>
      </c>
      <c r="H14" s="53">
        <f>IF(G14=0,0,G14/E7)</f>
        <v>0</v>
      </c>
      <c r="I14" s="34" t="s">
        <v>20</v>
      </c>
      <c r="J14" s="34"/>
      <c r="K14" s="35"/>
      <c r="U14" s="2"/>
    </row>
    <row r="15" spans="1:21">
      <c r="A15" s="36" t="s">
        <v>21</v>
      </c>
      <c r="B15" s="34"/>
      <c r="C15" s="34"/>
      <c r="D15" s="34"/>
      <c r="E15" s="34"/>
      <c r="F15" s="34"/>
      <c r="G15" s="110">
        <v>0</v>
      </c>
      <c r="H15" s="34"/>
      <c r="I15" s="34"/>
      <c r="J15" s="34"/>
      <c r="K15" s="35"/>
      <c r="U15" s="2"/>
    </row>
    <row r="16" spans="1:21">
      <c r="A16" s="36" t="s">
        <v>22</v>
      </c>
      <c r="B16" s="34"/>
      <c r="C16" s="34"/>
      <c r="D16" s="34"/>
      <c r="E16" s="34"/>
      <c r="F16" s="34"/>
      <c r="G16" s="110">
        <v>0</v>
      </c>
      <c r="H16" s="34"/>
      <c r="I16" s="34"/>
      <c r="J16" s="34"/>
      <c r="K16" s="35"/>
      <c r="U16" s="2"/>
    </row>
    <row r="17" spans="1:21">
      <c r="A17" s="36" t="s">
        <v>23</v>
      </c>
      <c r="B17" s="34"/>
      <c r="C17" s="34"/>
      <c r="D17" s="34"/>
      <c r="E17" s="34"/>
      <c r="F17" s="34"/>
      <c r="G17" s="110">
        <v>0</v>
      </c>
      <c r="H17" s="34"/>
      <c r="I17" s="34"/>
      <c r="J17" s="34"/>
      <c r="K17" s="35"/>
      <c r="U17" s="2"/>
    </row>
    <row r="18" spans="1:21">
      <c r="A18" s="36" t="s">
        <v>24</v>
      </c>
      <c r="B18" s="34"/>
      <c r="C18" s="34"/>
      <c r="D18" s="34"/>
      <c r="E18" s="34"/>
      <c r="F18" s="34"/>
      <c r="G18" s="110">
        <v>0</v>
      </c>
      <c r="H18" s="34"/>
      <c r="I18" s="34"/>
      <c r="J18" s="34"/>
      <c r="K18" s="35"/>
      <c r="U18" s="2"/>
    </row>
    <row r="19" spans="1:21">
      <c r="A19" s="22" t="s">
        <v>25</v>
      </c>
      <c r="B19" s="23"/>
      <c r="C19" s="23"/>
      <c r="D19" s="23"/>
      <c r="E19" s="23"/>
      <c r="F19" s="23"/>
      <c r="G19" s="65">
        <f>SUM(G14:G18)</f>
        <v>0</v>
      </c>
      <c r="H19" s="23"/>
      <c r="I19" s="23"/>
      <c r="J19" s="23"/>
      <c r="K19" s="24"/>
      <c r="U19" s="2"/>
    </row>
    <row r="20" spans="1:21">
      <c r="A20" s="33"/>
      <c r="B20" s="34"/>
      <c r="C20" s="34"/>
      <c r="D20" s="34"/>
      <c r="E20" s="34"/>
      <c r="F20" s="34"/>
      <c r="G20" s="95"/>
      <c r="H20" s="34"/>
      <c r="I20" s="34"/>
      <c r="J20" s="34"/>
      <c r="K20" s="35"/>
      <c r="U20" s="2"/>
    </row>
    <row r="21" spans="1:21">
      <c r="A21" s="33" t="s">
        <v>26</v>
      </c>
      <c r="B21" s="34"/>
      <c r="C21" s="34"/>
      <c r="D21" s="34"/>
      <c r="E21" s="34"/>
      <c r="F21" s="34"/>
      <c r="G21" s="94"/>
      <c r="H21" s="34"/>
      <c r="I21" s="34"/>
      <c r="J21" s="34"/>
      <c r="K21" s="35"/>
      <c r="U21" s="2"/>
    </row>
    <row r="22" spans="1:21">
      <c r="A22" s="36" t="s">
        <v>27</v>
      </c>
      <c r="B22" s="34"/>
      <c r="C22" s="34"/>
      <c r="D22" s="34"/>
      <c r="E22" s="34"/>
      <c r="F22" s="34"/>
      <c r="G22" s="28">
        <f>SUM(G35:G43)*H22</f>
        <v>0</v>
      </c>
      <c r="H22" s="111">
        <v>0.1</v>
      </c>
      <c r="I22" s="34" t="s">
        <v>28</v>
      </c>
      <c r="J22" s="34"/>
      <c r="K22" s="35"/>
      <c r="U22" s="2"/>
    </row>
    <row r="23" spans="1:21">
      <c r="A23" s="36" t="s">
        <v>29</v>
      </c>
      <c r="B23" s="34"/>
      <c r="C23" s="34"/>
      <c r="D23" s="34"/>
      <c r="E23" s="34"/>
      <c r="F23" s="34"/>
      <c r="G23" s="28">
        <f>SUM(G35:G43)*H23</f>
        <v>0</v>
      </c>
      <c r="H23" s="111">
        <v>0.01</v>
      </c>
      <c r="I23" s="34" t="s">
        <v>28</v>
      </c>
      <c r="J23" s="34"/>
      <c r="K23" s="35"/>
      <c r="U23" s="2"/>
    </row>
    <row r="24" spans="1:21">
      <c r="A24" s="36" t="s">
        <v>30</v>
      </c>
      <c r="B24" s="34"/>
      <c r="C24" s="34"/>
      <c r="D24" s="34"/>
      <c r="E24" s="34"/>
      <c r="F24" s="34"/>
      <c r="G24" s="28">
        <f>SUM(G35:G43)*H24</f>
        <v>0</v>
      </c>
      <c r="H24" s="111">
        <v>0.02</v>
      </c>
      <c r="I24" s="34" t="s">
        <v>28</v>
      </c>
      <c r="J24" s="34"/>
      <c r="K24" s="35"/>
      <c r="U24" s="2"/>
    </row>
    <row r="25" spans="1:21">
      <c r="A25" s="36" t="s">
        <v>31</v>
      </c>
      <c r="B25" s="34"/>
      <c r="C25" s="34"/>
      <c r="D25" s="34"/>
      <c r="E25" s="34"/>
      <c r="F25" s="34"/>
      <c r="G25" s="28">
        <f>SUM(G35:G43)*H25</f>
        <v>0</v>
      </c>
      <c r="H25" s="111">
        <v>0.02</v>
      </c>
      <c r="I25" s="34" t="s">
        <v>28</v>
      </c>
      <c r="J25" s="34"/>
      <c r="K25" s="35"/>
      <c r="U25" s="2"/>
    </row>
    <row r="26" spans="1:21">
      <c r="A26" s="36" t="s">
        <v>32</v>
      </c>
      <c r="B26" s="34"/>
      <c r="C26" s="34"/>
      <c r="D26" s="34"/>
      <c r="E26" s="34"/>
      <c r="F26" s="34"/>
      <c r="G26" s="28">
        <f>SUM(G35:G43)*H26</f>
        <v>0</v>
      </c>
      <c r="H26" s="111">
        <v>0.02</v>
      </c>
      <c r="I26" s="34" t="s">
        <v>28</v>
      </c>
      <c r="J26" s="34"/>
      <c r="K26" s="35"/>
      <c r="T26" s="5"/>
      <c r="U26" s="2"/>
    </row>
    <row r="27" spans="1:21">
      <c r="A27" s="36" t="s">
        <v>33</v>
      </c>
      <c r="B27" s="34"/>
      <c r="C27" s="34"/>
      <c r="D27" s="34"/>
      <c r="E27" s="34"/>
      <c r="F27" s="34"/>
      <c r="G27" s="110">
        <v>0</v>
      </c>
      <c r="H27" s="34" t="s">
        <v>34</v>
      </c>
      <c r="I27" s="34"/>
      <c r="J27" s="34"/>
      <c r="K27" s="35"/>
      <c r="T27" s="5"/>
      <c r="U27" s="2"/>
    </row>
    <row r="28" spans="1:21">
      <c r="A28" s="36" t="s">
        <v>35</v>
      </c>
      <c r="B28" s="34"/>
      <c r="C28" s="34"/>
      <c r="D28" s="34"/>
      <c r="E28" s="34"/>
      <c r="F28" s="34"/>
      <c r="G28" s="110">
        <v>0</v>
      </c>
      <c r="H28" s="34" t="s">
        <v>34</v>
      </c>
      <c r="I28" s="34"/>
      <c r="J28" s="34"/>
      <c r="K28" s="35"/>
      <c r="T28" s="5"/>
      <c r="U28" s="2"/>
    </row>
    <row r="29" spans="1:21" ht="13" customHeight="1">
      <c r="A29" s="36" t="s">
        <v>36</v>
      </c>
      <c r="B29" s="34"/>
      <c r="C29" s="34"/>
      <c r="D29" s="34"/>
      <c r="E29" s="34"/>
      <c r="F29" s="34"/>
      <c r="G29" s="28">
        <f>SUM(G35:G43)*H29</f>
        <v>0</v>
      </c>
      <c r="H29" s="111">
        <v>0.03</v>
      </c>
      <c r="I29" s="34" t="s">
        <v>28</v>
      </c>
      <c r="J29" s="34"/>
      <c r="K29" s="35"/>
      <c r="T29" s="5"/>
      <c r="U29" s="2"/>
    </row>
    <row r="30" spans="1:21">
      <c r="A30" s="36" t="s">
        <v>37</v>
      </c>
      <c r="B30" s="34"/>
      <c r="C30" s="34"/>
      <c r="D30" s="34"/>
      <c r="E30" s="34"/>
      <c r="F30" s="34"/>
      <c r="G30" s="110">
        <v>0</v>
      </c>
      <c r="H30" s="34" t="s">
        <v>34</v>
      </c>
      <c r="I30" s="34"/>
      <c r="J30" s="34"/>
      <c r="K30" s="35"/>
      <c r="T30" s="5"/>
      <c r="U30" s="2"/>
    </row>
    <row r="31" spans="1:21">
      <c r="A31" s="36" t="s">
        <v>38</v>
      </c>
      <c r="B31" s="34"/>
      <c r="C31" s="34"/>
      <c r="D31" s="34"/>
      <c r="E31" s="34"/>
      <c r="F31" s="34"/>
      <c r="G31" s="110">
        <v>0</v>
      </c>
      <c r="H31" s="34" t="s">
        <v>39</v>
      </c>
      <c r="I31" s="34"/>
      <c r="J31" s="34"/>
      <c r="K31" s="35"/>
      <c r="T31" s="5"/>
      <c r="U31" s="2"/>
    </row>
    <row r="32" spans="1:21">
      <c r="A32" s="36" t="s">
        <v>40</v>
      </c>
      <c r="B32" s="34"/>
      <c r="C32" s="34"/>
      <c r="D32" s="34"/>
      <c r="E32" s="34"/>
      <c r="F32" s="34"/>
      <c r="G32" s="28">
        <f>SUM(G35:G43)*H32</f>
        <v>0</v>
      </c>
      <c r="H32" s="111">
        <v>0.01</v>
      </c>
      <c r="I32" s="34" t="s">
        <v>28</v>
      </c>
      <c r="J32" s="34"/>
      <c r="K32" s="35"/>
      <c r="T32" s="5"/>
      <c r="U32" s="2"/>
    </row>
    <row r="33" spans="1:21">
      <c r="A33" s="36" t="s">
        <v>41</v>
      </c>
      <c r="B33" s="34"/>
      <c r="C33" s="34"/>
      <c r="D33" s="34"/>
      <c r="E33" s="34"/>
      <c r="F33" s="34"/>
      <c r="G33" s="110">
        <v>0</v>
      </c>
      <c r="H33" s="34" t="s">
        <v>34</v>
      </c>
      <c r="I33" s="34"/>
      <c r="J33" s="34"/>
      <c r="K33" s="35"/>
      <c r="T33" s="5"/>
      <c r="U33" s="2"/>
    </row>
    <row r="34" spans="1:21">
      <c r="A34" s="36" t="s">
        <v>42</v>
      </c>
      <c r="B34" s="34"/>
      <c r="C34" s="34"/>
      <c r="D34" s="34"/>
      <c r="E34" s="34"/>
      <c r="F34" s="34"/>
      <c r="G34" s="110"/>
      <c r="H34" s="34" t="s">
        <v>34</v>
      </c>
      <c r="I34" s="34"/>
      <c r="J34" s="34"/>
      <c r="K34" s="35"/>
      <c r="T34" s="5"/>
      <c r="U34" s="2"/>
    </row>
    <row r="35" spans="1:21">
      <c r="A35" s="36" t="s">
        <v>43</v>
      </c>
      <c r="B35" s="34"/>
      <c r="C35" s="34"/>
      <c r="D35" s="34"/>
      <c r="E35" s="34"/>
      <c r="F35" s="34"/>
      <c r="G35" s="110"/>
      <c r="H35" s="34" t="s">
        <v>34</v>
      </c>
      <c r="I35" s="34"/>
      <c r="J35" s="34"/>
      <c r="K35" s="35"/>
      <c r="T35" s="5"/>
      <c r="U35" s="2"/>
    </row>
    <row r="36" spans="1:21">
      <c r="A36" s="36" t="s">
        <v>44</v>
      </c>
      <c r="B36" s="34"/>
      <c r="C36" s="34"/>
      <c r="D36" s="34"/>
      <c r="E36" s="34"/>
      <c r="F36" s="34"/>
      <c r="G36" s="110"/>
      <c r="H36" s="34" t="s">
        <v>34</v>
      </c>
      <c r="I36" s="34"/>
      <c r="J36" s="34"/>
      <c r="K36" s="35"/>
      <c r="T36" s="5"/>
      <c r="U36" s="2"/>
    </row>
    <row r="37" spans="1:21">
      <c r="A37" s="36" t="s">
        <v>45</v>
      </c>
      <c r="B37" s="34"/>
      <c r="C37" s="34"/>
      <c r="D37" s="34"/>
      <c r="E37" s="37"/>
      <c r="F37" s="34"/>
      <c r="G37" s="28"/>
      <c r="H37" s="118">
        <v>0</v>
      </c>
      <c r="I37" s="34" t="s">
        <v>20</v>
      </c>
      <c r="J37" s="112" t="s">
        <v>46</v>
      </c>
      <c r="K37" s="35"/>
      <c r="T37" s="5"/>
      <c r="U37" s="2"/>
    </row>
    <row r="38" spans="1:21">
      <c r="A38" s="36" t="s">
        <v>47</v>
      </c>
      <c r="B38" s="34"/>
      <c r="C38" s="34"/>
      <c r="D38" s="34"/>
      <c r="E38" s="37"/>
      <c r="F38" s="34"/>
      <c r="G38" s="28">
        <f>SUM(E7*H38)</f>
        <v>0</v>
      </c>
      <c r="H38" s="91">
        <v>0</v>
      </c>
      <c r="I38" s="34" t="s">
        <v>20</v>
      </c>
      <c r="J38" s="34" t="s">
        <v>48</v>
      </c>
      <c r="K38" s="35"/>
      <c r="T38" s="5"/>
      <c r="U38" s="2"/>
    </row>
    <row r="39" spans="1:21">
      <c r="A39" s="36" t="s">
        <v>49</v>
      </c>
      <c r="B39" s="34"/>
      <c r="C39" s="34"/>
      <c r="D39" s="34"/>
      <c r="E39" s="37"/>
      <c r="F39" s="34"/>
      <c r="G39" s="28">
        <f>SUM(E7*H39)</f>
        <v>0</v>
      </c>
      <c r="H39" s="91">
        <v>0</v>
      </c>
      <c r="I39" s="34" t="s">
        <v>20</v>
      </c>
      <c r="J39" s="73" t="s">
        <v>50</v>
      </c>
      <c r="K39" s="35"/>
      <c r="T39" s="5"/>
      <c r="U39" s="2"/>
    </row>
    <row r="40" spans="1:21">
      <c r="A40" s="36" t="s">
        <v>51</v>
      </c>
      <c r="B40" s="34"/>
      <c r="C40" s="34"/>
      <c r="D40" s="34"/>
      <c r="E40" s="34"/>
      <c r="F40" s="34"/>
      <c r="G40" s="110">
        <v>0</v>
      </c>
      <c r="H40" s="34" t="s">
        <v>34</v>
      </c>
      <c r="I40" s="34"/>
      <c r="J40" s="34"/>
      <c r="K40" s="35"/>
      <c r="T40" s="5"/>
      <c r="U40" s="2"/>
    </row>
    <row r="41" spans="1:21">
      <c r="A41" s="36" t="s">
        <v>52</v>
      </c>
      <c r="B41" s="34"/>
      <c r="C41" s="34"/>
      <c r="D41" s="34"/>
      <c r="E41" s="34"/>
      <c r="F41" s="34"/>
      <c r="G41" s="110">
        <v>0</v>
      </c>
      <c r="H41" s="34" t="s">
        <v>34</v>
      </c>
      <c r="I41" s="34"/>
      <c r="J41" s="34"/>
      <c r="K41" s="35"/>
      <c r="T41" s="5"/>
      <c r="U41" s="2"/>
    </row>
    <row r="42" spans="1:21">
      <c r="A42" s="36" t="str">
        <f>"Contingency  @"&amp;(H42*100)&amp;"%"</f>
        <v>Contingency  @0%</v>
      </c>
      <c r="B42" s="34"/>
      <c r="C42" s="34"/>
      <c r="D42" s="34"/>
      <c r="E42" s="34"/>
      <c r="F42" s="34"/>
      <c r="G42" s="28">
        <f>SUM(G37:G41)*H42</f>
        <v>0</v>
      </c>
      <c r="H42" s="111">
        <v>0</v>
      </c>
      <c r="I42" s="34"/>
      <c r="J42" s="34"/>
      <c r="K42" s="35"/>
      <c r="T42" s="5"/>
      <c r="U42" s="2"/>
    </row>
    <row r="43" spans="1:21">
      <c r="A43" s="36" t="s">
        <v>53</v>
      </c>
      <c r="B43" s="34"/>
      <c r="C43" s="34"/>
      <c r="D43" s="34"/>
      <c r="E43" s="34"/>
      <c r="F43" s="34"/>
      <c r="G43" s="110">
        <v>0</v>
      </c>
      <c r="H43" s="34" t="s">
        <v>54</v>
      </c>
      <c r="I43" s="34"/>
      <c r="J43" s="34"/>
      <c r="K43" s="35"/>
      <c r="T43" s="5"/>
      <c r="U43" s="2"/>
    </row>
    <row r="44" spans="1:21">
      <c r="A44" s="36" t="s">
        <v>55</v>
      </c>
      <c r="B44" s="34"/>
      <c r="C44" s="34"/>
      <c r="D44" s="34"/>
      <c r="E44" s="34"/>
      <c r="F44" s="34"/>
      <c r="G44" s="110">
        <v>0</v>
      </c>
      <c r="H44" s="34" t="s">
        <v>34</v>
      </c>
      <c r="I44" s="34"/>
      <c r="J44" s="34"/>
      <c r="K44" s="35"/>
      <c r="T44" s="5"/>
      <c r="U44" s="2"/>
    </row>
    <row r="45" spans="1:21">
      <c r="A45" s="36" t="s">
        <v>56</v>
      </c>
      <c r="B45" s="34"/>
      <c r="C45" s="34"/>
      <c r="D45" s="34"/>
      <c r="E45" s="34"/>
      <c r="F45" s="34"/>
      <c r="G45" s="110">
        <v>0</v>
      </c>
      <c r="H45" s="34" t="s">
        <v>57</v>
      </c>
      <c r="I45" s="34"/>
      <c r="J45" s="34"/>
      <c r="K45" s="35"/>
      <c r="U45" s="2"/>
    </row>
    <row r="46" spans="1:21">
      <c r="A46" s="22" t="s">
        <v>58</v>
      </c>
      <c r="B46" s="23"/>
      <c r="C46" s="23"/>
      <c r="D46" s="23"/>
      <c r="E46" s="23"/>
      <c r="F46" s="23"/>
      <c r="G46" s="65">
        <f>SUM(G22:G45)</f>
        <v>0</v>
      </c>
      <c r="H46" s="23"/>
      <c r="I46" s="23"/>
      <c r="J46" s="23"/>
      <c r="K46" s="24"/>
      <c r="T46" s="5"/>
      <c r="U46" s="2"/>
    </row>
    <row r="47" spans="1:21" ht="8" customHeight="1">
      <c r="A47" s="33"/>
      <c r="B47" s="34"/>
      <c r="C47" s="34"/>
      <c r="D47" s="34"/>
      <c r="E47" s="34"/>
      <c r="F47" s="34"/>
      <c r="G47" s="95"/>
      <c r="H47" s="34"/>
      <c r="I47" s="34"/>
      <c r="J47" s="34"/>
      <c r="K47" s="35"/>
      <c r="T47" s="5"/>
      <c r="U47" s="2"/>
    </row>
    <row r="48" spans="1:21" ht="15.5" customHeight="1">
      <c r="A48" s="102" t="s">
        <v>59</v>
      </c>
      <c r="B48" s="34"/>
      <c r="C48" s="34"/>
      <c r="D48" s="34"/>
      <c r="E48" s="34"/>
      <c r="F48" s="34"/>
      <c r="G48" s="94"/>
      <c r="H48" s="34"/>
      <c r="I48" s="34"/>
      <c r="J48" s="34"/>
      <c r="K48" s="35"/>
      <c r="U48" s="2"/>
    </row>
    <row r="49" spans="1:21">
      <c r="A49" s="38" t="s">
        <v>60</v>
      </c>
      <c r="B49" s="34"/>
      <c r="C49" s="34"/>
      <c r="D49" s="34"/>
      <c r="E49" s="34"/>
      <c r="F49" s="34"/>
      <c r="G49" s="110">
        <v>0</v>
      </c>
      <c r="H49" s="34"/>
      <c r="I49" s="34"/>
      <c r="J49" s="34"/>
      <c r="K49" s="35"/>
      <c r="U49" s="2"/>
    </row>
    <row r="50" spans="1:21">
      <c r="A50" s="36" t="str">
        <f>"Purchase Private Finance Cost for "&amp;H50&amp;" months @ "&amp;(J50*100)&amp;"% per month"</f>
        <v>Purchase Private Finance Cost for 0 months @ 0% per month</v>
      </c>
      <c r="B50" s="34"/>
      <c r="C50" s="34"/>
      <c r="D50" s="34"/>
      <c r="E50" s="34"/>
      <c r="F50" s="34"/>
      <c r="G50" s="28">
        <f>(G49*J50)*H50</f>
        <v>0</v>
      </c>
      <c r="H50" s="113">
        <v>0</v>
      </c>
      <c r="I50" s="34" t="s">
        <v>61</v>
      </c>
      <c r="J50" s="111">
        <v>0</v>
      </c>
      <c r="K50" s="35" t="s">
        <v>62</v>
      </c>
      <c r="U50" s="2"/>
    </row>
    <row r="51" spans="1:21">
      <c r="A51" s="38" t="s">
        <v>63</v>
      </c>
      <c r="B51" s="34"/>
      <c r="C51" s="34"/>
      <c r="D51" s="34"/>
      <c r="E51" s="34"/>
      <c r="F51" s="34"/>
      <c r="G51" s="28">
        <f>G50</f>
        <v>0</v>
      </c>
      <c r="H51" s="34"/>
      <c r="I51" s="34"/>
      <c r="J51" s="34"/>
      <c r="K51" s="35"/>
      <c r="U51" s="2"/>
    </row>
    <row r="52" spans="1:21" ht="8" customHeight="1">
      <c r="A52" s="36"/>
      <c r="B52" s="34"/>
      <c r="C52" s="34"/>
      <c r="D52" s="34"/>
      <c r="E52" s="34"/>
      <c r="F52" s="34"/>
      <c r="G52" s="94"/>
      <c r="H52" s="34"/>
      <c r="I52" s="34"/>
      <c r="J52" s="34"/>
      <c r="K52" s="35"/>
      <c r="U52" s="2"/>
    </row>
    <row r="53" spans="1:21">
      <c r="A53" s="38" t="s">
        <v>64</v>
      </c>
      <c r="B53" s="34"/>
      <c r="C53" s="34"/>
      <c r="D53" s="34"/>
      <c r="E53" s="34"/>
      <c r="F53" s="34"/>
      <c r="G53" s="28">
        <f>G19-G49</f>
        <v>0</v>
      </c>
      <c r="H53" s="34" t="s">
        <v>64</v>
      </c>
      <c r="I53" s="34"/>
      <c r="J53" s="34"/>
      <c r="K53" s="35"/>
      <c r="U53" s="2"/>
    </row>
    <row r="54" spans="1:21">
      <c r="A54" s="36" t="str">
        <f>"Purchase Bridging Cost for "&amp;H54&amp;" months @ "&amp;(J54*100)&amp;"% per month"</f>
        <v>Purchase Bridging Cost for 0 months @ 1% per month</v>
      </c>
      <c r="B54" s="34"/>
      <c r="C54" s="34"/>
      <c r="D54" s="34"/>
      <c r="E54" s="34"/>
      <c r="F54" s="34"/>
      <c r="G54" s="28">
        <f>(G53*J54)*H54</f>
        <v>0</v>
      </c>
      <c r="H54" s="113">
        <v>0</v>
      </c>
      <c r="I54" s="34" t="s">
        <v>61</v>
      </c>
      <c r="J54" s="111">
        <v>0.01</v>
      </c>
      <c r="K54" s="35" t="s">
        <v>62</v>
      </c>
      <c r="U54" s="2"/>
    </row>
    <row r="55" spans="1:21">
      <c r="A55" s="36" t="str">
        <f>"Broker Fee  @"&amp;(H55*100)&amp;"%"</f>
        <v>Broker Fee  @0.5%</v>
      </c>
      <c r="B55" s="34"/>
      <c r="C55" s="34"/>
      <c r="D55" s="34"/>
      <c r="E55" s="34"/>
      <c r="F55" s="34"/>
      <c r="G55" s="28">
        <f>G53*H55</f>
        <v>0</v>
      </c>
      <c r="H55" s="111">
        <v>5.0000000000000001E-3</v>
      </c>
      <c r="I55" s="34"/>
      <c r="J55" s="34"/>
      <c r="K55" s="35"/>
      <c r="U55" s="16"/>
    </row>
    <row r="56" spans="1:21">
      <c r="A56" s="36" t="s">
        <v>65</v>
      </c>
      <c r="B56" s="34"/>
      <c r="C56" s="34"/>
      <c r="D56" s="34"/>
      <c r="E56" s="34"/>
      <c r="F56" s="34"/>
      <c r="G56" s="28">
        <f>G53*H56</f>
        <v>0</v>
      </c>
      <c r="H56" s="111">
        <v>0.01</v>
      </c>
      <c r="I56" s="34"/>
      <c r="J56" s="34"/>
      <c r="K56" s="35"/>
      <c r="U56" s="16"/>
    </row>
    <row r="57" spans="1:21">
      <c r="A57" s="36" t="s">
        <v>66</v>
      </c>
      <c r="B57" s="34"/>
      <c r="C57" s="34"/>
      <c r="D57" s="34"/>
      <c r="E57" s="34"/>
      <c r="F57" s="34"/>
      <c r="G57" s="110">
        <v>0</v>
      </c>
      <c r="H57" s="34" t="s">
        <v>34</v>
      </c>
      <c r="I57" s="34"/>
      <c r="J57" s="34"/>
      <c r="K57" s="35"/>
      <c r="U57" s="16"/>
    </row>
    <row r="58" spans="1:21">
      <c r="A58" s="36" t="s">
        <v>67</v>
      </c>
      <c r="B58" s="34"/>
      <c r="C58" s="34"/>
      <c r="D58" s="34"/>
      <c r="E58" s="34"/>
      <c r="F58" s="34"/>
      <c r="G58" s="28">
        <f>G53*H58</f>
        <v>0</v>
      </c>
      <c r="H58" s="111">
        <v>0.02</v>
      </c>
      <c r="I58" s="34"/>
      <c r="J58" s="34"/>
      <c r="K58" s="35"/>
      <c r="U58" s="16"/>
    </row>
    <row r="59" spans="1:21">
      <c r="A59" s="38" t="s">
        <v>68</v>
      </c>
      <c r="B59" s="39"/>
      <c r="C59" s="39"/>
      <c r="D59" s="39"/>
      <c r="E59" s="39"/>
      <c r="F59" s="39"/>
      <c r="G59" s="29">
        <f>SUM(G54:G58)</f>
        <v>0</v>
      </c>
      <c r="H59" s="34"/>
      <c r="I59" s="34"/>
      <c r="J59" s="34"/>
      <c r="K59" s="35"/>
      <c r="U59" s="16"/>
    </row>
    <row r="60" spans="1:21" ht="8" customHeight="1">
      <c r="A60" s="38"/>
      <c r="B60" s="39"/>
      <c r="C60" s="39"/>
      <c r="D60" s="39"/>
      <c r="E60" s="39"/>
      <c r="F60" s="39"/>
      <c r="G60" s="39"/>
      <c r="H60" s="34"/>
      <c r="I60" s="34"/>
      <c r="J60" s="34"/>
      <c r="K60" s="35"/>
      <c r="U60" s="16"/>
    </row>
    <row r="61" spans="1:21">
      <c r="A61" s="38" t="s">
        <v>69</v>
      </c>
      <c r="B61" s="39"/>
      <c r="C61" s="39"/>
      <c r="D61" s="39"/>
      <c r="E61" s="39"/>
      <c r="F61" s="39"/>
      <c r="G61" s="29">
        <f>G59+G51</f>
        <v>0</v>
      </c>
      <c r="H61" s="34"/>
      <c r="I61" s="34"/>
      <c r="J61" s="34"/>
      <c r="K61" s="35"/>
      <c r="U61" s="16"/>
    </row>
    <row r="62" spans="1:21" ht="8" customHeight="1">
      <c r="A62" s="38"/>
      <c r="B62" s="39"/>
      <c r="C62" s="39"/>
      <c r="D62" s="39"/>
      <c r="E62" s="39"/>
      <c r="F62" s="39"/>
      <c r="G62" s="39"/>
      <c r="H62" s="34"/>
      <c r="I62" s="34"/>
      <c r="J62" s="34"/>
      <c r="K62" s="35"/>
      <c r="U62" s="16"/>
    </row>
    <row r="63" spans="1:21" ht="15.5" customHeight="1">
      <c r="A63" s="102" t="s">
        <v>70</v>
      </c>
      <c r="B63" s="39"/>
      <c r="C63" s="39"/>
      <c r="D63" s="39"/>
      <c r="E63" s="39"/>
      <c r="F63" s="39"/>
      <c r="G63" s="96"/>
      <c r="H63" s="34"/>
      <c r="I63" s="34"/>
      <c r="J63" s="34"/>
      <c r="K63" s="35"/>
      <c r="U63" s="16"/>
    </row>
    <row r="64" spans="1:21">
      <c r="A64" s="38" t="s">
        <v>71</v>
      </c>
      <c r="B64" s="34"/>
      <c r="C64" s="34"/>
      <c r="D64" s="34"/>
      <c r="E64" s="34"/>
      <c r="F64" s="34"/>
      <c r="G64" s="28">
        <f>G46</f>
        <v>0</v>
      </c>
      <c r="H64" s="34" t="s">
        <v>64</v>
      </c>
      <c r="I64" s="34"/>
      <c r="J64" s="34"/>
      <c r="K64" s="35"/>
      <c r="U64" s="2"/>
    </row>
    <row r="65" spans="1:21">
      <c r="A65" s="36" t="str">
        <f>"Development Bridging Cost for "&amp;H65&amp;" months @ "&amp;(J65*100)&amp;"% per month"</f>
        <v>Development Bridging Cost for 0 months @ 1% per month</v>
      </c>
      <c r="B65" s="34"/>
      <c r="C65" s="34"/>
      <c r="D65" s="34"/>
      <c r="E65" s="34"/>
      <c r="F65" s="34"/>
      <c r="G65" s="28">
        <f>(G64*J65)*H65</f>
        <v>0</v>
      </c>
      <c r="H65" s="113">
        <v>0</v>
      </c>
      <c r="I65" s="34" t="s">
        <v>61</v>
      </c>
      <c r="J65" s="111">
        <v>0.01</v>
      </c>
      <c r="K65" s="35" t="s">
        <v>62</v>
      </c>
      <c r="U65" s="2"/>
    </row>
    <row r="66" spans="1:21">
      <c r="A66" s="36" t="s">
        <v>72</v>
      </c>
      <c r="B66" s="34"/>
      <c r="C66" s="34"/>
      <c r="D66" s="34"/>
      <c r="E66" s="34"/>
      <c r="F66" s="34"/>
      <c r="G66" s="28">
        <f>G64*H66</f>
        <v>0</v>
      </c>
      <c r="H66" s="111">
        <v>5.0000000000000001E-3</v>
      </c>
      <c r="I66" s="34"/>
      <c r="J66" s="34"/>
      <c r="K66" s="35"/>
      <c r="U66" s="16"/>
    </row>
    <row r="67" spans="1:21">
      <c r="A67" s="36" t="s">
        <v>65</v>
      </c>
      <c r="B67" s="34"/>
      <c r="C67" s="34"/>
      <c r="D67" s="34"/>
      <c r="E67" s="34"/>
      <c r="F67" s="34"/>
      <c r="G67" s="28">
        <f>G64*H67</f>
        <v>0</v>
      </c>
      <c r="H67" s="111">
        <v>0.01</v>
      </c>
      <c r="I67" s="34"/>
      <c r="J67" s="34"/>
      <c r="K67" s="35"/>
      <c r="U67" s="16"/>
    </row>
    <row r="68" spans="1:21">
      <c r="A68" s="36" t="s">
        <v>66</v>
      </c>
      <c r="B68" s="34"/>
      <c r="C68" s="34"/>
      <c r="D68" s="34"/>
      <c r="E68" s="34"/>
      <c r="F68" s="34"/>
      <c r="G68" s="110">
        <v>0</v>
      </c>
      <c r="H68" s="34" t="s">
        <v>34</v>
      </c>
      <c r="I68" s="34"/>
      <c r="J68" s="34"/>
      <c r="K68" s="35"/>
      <c r="U68" s="16"/>
    </row>
    <row r="69" spans="1:21">
      <c r="A69" s="36" t="s">
        <v>67</v>
      </c>
      <c r="B69" s="34"/>
      <c r="C69" s="34"/>
      <c r="D69" s="34"/>
      <c r="E69" s="34"/>
      <c r="F69" s="34"/>
      <c r="G69" s="28">
        <f>G64*H69</f>
        <v>0</v>
      </c>
      <c r="H69" s="111">
        <v>0.02</v>
      </c>
      <c r="I69" s="34"/>
      <c r="J69" s="34"/>
      <c r="K69" s="35"/>
      <c r="U69" s="16"/>
    </row>
    <row r="70" spans="1:21">
      <c r="A70" s="38" t="s">
        <v>73</v>
      </c>
      <c r="B70" s="39"/>
      <c r="C70" s="39"/>
      <c r="D70" s="39"/>
      <c r="E70" s="39"/>
      <c r="F70" s="39"/>
      <c r="G70" s="29">
        <f>SUM(G65:G69)</f>
        <v>0</v>
      </c>
      <c r="H70" s="34"/>
      <c r="I70" s="34"/>
      <c r="J70" s="34"/>
      <c r="K70" s="35"/>
      <c r="T70" s="17"/>
      <c r="U70" s="2"/>
    </row>
    <row r="71" spans="1:21" ht="8" customHeight="1">
      <c r="A71" s="36"/>
      <c r="B71" s="34"/>
      <c r="C71" s="34"/>
      <c r="D71" s="34"/>
      <c r="E71" s="34"/>
      <c r="F71" s="34"/>
      <c r="G71" s="94"/>
      <c r="H71" s="34"/>
      <c r="I71" s="34"/>
      <c r="J71" s="34"/>
      <c r="K71" s="35"/>
      <c r="L71" s="1"/>
      <c r="S71" s="6"/>
      <c r="U71" s="2"/>
    </row>
    <row r="72" spans="1:21">
      <c r="A72" s="22" t="s">
        <v>74</v>
      </c>
      <c r="B72" s="23"/>
      <c r="C72" s="23"/>
      <c r="D72" s="23"/>
      <c r="E72" s="23"/>
      <c r="F72" s="23"/>
      <c r="G72" s="65">
        <f>G70+G61</f>
        <v>0</v>
      </c>
      <c r="H72" s="23"/>
      <c r="I72" s="23"/>
      <c r="J72" s="23"/>
      <c r="K72" s="24"/>
      <c r="M72" s="2"/>
      <c r="N72" s="2"/>
      <c r="O72" s="2"/>
      <c r="P72" s="2"/>
      <c r="S72" s="6"/>
      <c r="U72" s="2"/>
    </row>
    <row r="73" spans="1:21">
      <c r="A73" s="36"/>
      <c r="B73" s="34"/>
      <c r="C73" s="34"/>
      <c r="D73" s="34"/>
      <c r="E73" s="34"/>
      <c r="F73" s="34"/>
      <c r="G73" s="94"/>
      <c r="H73" s="34"/>
      <c r="I73" s="34"/>
      <c r="J73" s="34"/>
      <c r="K73" s="35"/>
      <c r="M73" s="2"/>
      <c r="N73" s="2"/>
      <c r="O73" s="2"/>
      <c r="P73" s="2"/>
      <c r="S73" s="6"/>
      <c r="U73" s="2"/>
    </row>
    <row r="74" spans="1:21">
      <c r="A74" s="36" t="s">
        <v>75</v>
      </c>
      <c r="B74" s="34"/>
      <c r="C74" s="34"/>
      <c r="D74" s="34"/>
      <c r="E74" s="34"/>
      <c r="F74" s="34"/>
      <c r="G74" s="28">
        <f>G102*H74</f>
        <v>0</v>
      </c>
      <c r="H74" s="111">
        <v>1.4999999999999999E-2</v>
      </c>
      <c r="I74" s="34" t="s">
        <v>76</v>
      </c>
      <c r="J74" s="34"/>
      <c r="K74" s="35"/>
      <c r="M74" s="2"/>
      <c r="N74" s="2"/>
      <c r="O74" s="2"/>
      <c r="P74" s="2"/>
      <c r="S74" s="6"/>
      <c r="T74" s="16"/>
      <c r="U74" s="2"/>
    </row>
    <row r="75" spans="1:21">
      <c r="A75" s="22" t="s">
        <v>77</v>
      </c>
      <c r="B75" s="23"/>
      <c r="C75" s="23"/>
      <c r="D75" s="23"/>
      <c r="E75" s="23"/>
      <c r="F75" s="23"/>
      <c r="G75" s="65">
        <f>G74</f>
        <v>0</v>
      </c>
      <c r="H75" s="23"/>
      <c r="I75" s="23"/>
      <c r="J75" s="23"/>
      <c r="K75" s="24"/>
      <c r="M75" s="2"/>
      <c r="N75" s="2"/>
      <c r="O75" s="2"/>
      <c r="P75" s="2"/>
      <c r="S75" s="6"/>
      <c r="U75" s="2"/>
    </row>
    <row r="76" spans="1:21">
      <c r="A76" s="36"/>
      <c r="B76" s="34"/>
      <c r="C76" s="34"/>
      <c r="D76" s="34"/>
      <c r="E76" s="34"/>
      <c r="F76" s="34"/>
      <c r="G76" s="94"/>
      <c r="H76" s="34"/>
      <c r="I76" s="34"/>
      <c r="J76" s="34"/>
      <c r="K76" s="35"/>
      <c r="M76" s="2"/>
      <c r="N76" s="2"/>
      <c r="O76" s="2"/>
      <c r="P76" s="2"/>
      <c r="S76" s="6"/>
      <c r="T76" s="16"/>
      <c r="U76" s="2"/>
    </row>
    <row r="77" spans="1:21">
      <c r="A77" s="36" t="s">
        <v>78</v>
      </c>
      <c r="B77" s="34"/>
      <c r="C77" s="34"/>
      <c r="D77" s="34"/>
      <c r="E77" s="34"/>
      <c r="F77" s="34"/>
      <c r="G77" s="106">
        <f>IF(G46=0,0,G46/E7)</f>
        <v>0</v>
      </c>
      <c r="H77" s="34"/>
      <c r="I77" s="34"/>
      <c r="J77" s="34"/>
      <c r="K77" s="35"/>
      <c r="M77" s="2"/>
      <c r="P77" s="3"/>
      <c r="S77" s="6"/>
      <c r="T77" s="2"/>
      <c r="U77" s="2"/>
    </row>
    <row r="78" spans="1:21">
      <c r="A78" s="36" t="s">
        <v>79</v>
      </c>
      <c r="B78" s="34"/>
      <c r="C78" s="34"/>
      <c r="D78" s="34"/>
      <c r="E78" s="34"/>
      <c r="F78" s="34"/>
      <c r="G78" s="106">
        <f>IF(G46=0,0,(G46+G72)/E7)</f>
        <v>0</v>
      </c>
      <c r="H78" s="34"/>
      <c r="I78" s="34"/>
      <c r="J78" s="34"/>
      <c r="K78" s="35"/>
      <c r="M78" s="2"/>
      <c r="P78" s="3"/>
      <c r="S78" s="6"/>
      <c r="T78" s="2"/>
      <c r="U78" s="2"/>
    </row>
    <row r="79" spans="1:21" ht="18" customHeight="1">
      <c r="A79" s="25" t="s">
        <v>80</v>
      </c>
      <c r="B79" s="26"/>
      <c r="C79" s="26"/>
      <c r="D79" s="26"/>
      <c r="E79" s="26"/>
      <c r="F79" s="26"/>
      <c r="G79" s="68">
        <f>G75+G72+G46+G19</f>
        <v>0</v>
      </c>
      <c r="H79" s="27"/>
      <c r="I79" s="23"/>
      <c r="J79" s="23"/>
      <c r="K79" s="24"/>
      <c r="M79" s="2"/>
      <c r="P79" s="3"/>
      <c r="S79" s="6"/>
      <c r="T79" s="2"/>
      <c r="U79" s="2"/>
    </row>
    <row r="80" spans="1:21">
      <c r="A80" s="40"/>
      <c r="B80" s="41"/>
      <c r="C80" s="41"/>
      <c r="D80" s="41"/>
      <c r="E80" s="41"/>
      <c r="F80" s="41"/>
      <c r="G80" s="97"/>
      <c r="H80" s="41"/>
      <c r="I80" s="42"/>
      <c r="J80" s="42"/>
      <c r="K80" s="43"/>
      <c r="M80" s="2"/>
      <c r="P80" s="3"/>
      <c r="S80" s="6"/>
      <c r="T80" s="2"/>
      <c r="U80" s="2"/>
    </row>
    <row r="81" spans="1:21" ht="15" customHeight="1" thickBot="1">
      <c r="M81" s="2"/>
      <c r="N81" s="2"/>
      <c r="O81" s="2"/>
      <c r="P81" s="2"/>
      <c r="S81" s="6"/>
      <c r="T81" s="2"/>
      <c r="U81" s="2"/>
    </row>
    <row r="82" spans="1:21" ht="24" customHeight="1" thickBot="1">
      <c r="A82" s="18" t="s">
        <v>81</v>
      </c>
      <c r="B82" s="74"/>
      <c r="C82" s="58"/>
      <c r="D82" s="58"/>
      <c r="E82" s="58"/>
      <c r="F82" s="58"/>
      <c r="G82" s="59"/>
      <c r="H82" s="58"/>
      <c r="I82" s="58"/>
      <c r="J82" s="60"/>
      <c r="K82" s="61"/>
    </row>
    <row r="83" spans="1:21" ht="18.5" customHeight="1" thickBot="1">
      <c r="A83" s="75" t="s">
        <v>12</v>
      </c>
      <c r="B83" s="76" t="s">
        <v>7</v>
      </c>
      <c r="C83" s="76" t="s">
        <v>82</v>
      </c>
      <c r="D83" s="134" t="s">
        <v>83</v>
      </c>
      <c r="E83" s="135"/>
      <c r="F83" s="136"/>
      <c r="G83" s="83" t="s">
        <v>84</v>
      </c>
      <c r="H83" s="30" t="s">
        <v>85</v>
      </c>
      <c r="I83" s="51"/>
      <c r="J83" s="52"/>
      <c r="K83" s="50"/>
    </row>
    <row r="84" spans="1:21">
      <c r="A84" s="114"/>
      <c r="B84" s="114"/>
      <c r="C84" s="114"/>
      <c r="D84" s="125"/>
      <c r="E84" s="126"/>
      <c r="F84" s="127"/>
      <c r="G84" s="115"/>
      <c r="H84" s="34" t="str">
        <f t="shared" ref="H84:H101" si="0">IF(G84=0,"",G84/B84)</f>
        <v/>
      </c>
      <c r="I84" s="34"/>
      <c r="J84" s="34"/>
      <c r="K84" s="35"/>
    </row>
    <row r="85" spans="1:21">
      <c r="A85" s="114"/>
      <c r="B85" s="114"/>
      <c r="C85" s="114"/>
      <c r="D85" s="125"/>
      <c r="E85" s="126"/>
      <c r="F85" s="127"/>
      <c r="G85" s="115"/>
      <c r="H85" s="34" t="str">
        <f t="shared" si="0"/>
        <v/>
      </c>
      <c r="I85" s="34"/>
      <c r="J85" s="34"/>
      <c r="K85" s="35"/>
    </row>
    <row r="86" spans="1:21">
      <c r="A86" s="116"/>
      <c r="B86" s="116"/>
      <c r="C86" s="116"/>
      <c r="D86" s="120"/>
      <c r="E86" s="121"/>
      <c r="F86" s="122"/>
      <c r="G86" s="117"/>
      <c r="H86" s="34" t="str">
        <f t="shared" si="0"/>
        <v/>
      </c>
      <c r="I86" s="34"/>
      <c r="J86" s="34"/>
      <c r="K86" s="35"/>
    </row>
    <row r="87" spans="1:21">
      <c r="A87" s="116"/>
      <c r="B87" s="116"/>
      <c r="C87" s="116"/>
      <c r="D87" s="120"/>
      <c r="E87" s="121"/>
      <c r="F87" s="122"/>
      <c r="G87" s="117"/>
      <c r="H87" s="34" t="str">
        <f t="shared" si="0"/>
        <v/>
      </c>
      <c r="I87" s="34"/>
      <c r="J87" s="34"/>
      <c r="K87" s="35"/>
    </row>
    <row r="88" spans="1:21">
      <c r="A88" s="116"/>
      <c r="B88" s="116"/>
      <c r="C88" s="116"/>
      <c r="D88" s="120"/>
      <c r="E88" s="121"/>
      <c r="F88" s="122"/>
      <c r="G88" s="117"/>
      <c r="H88" s="34" t="str">
        <f t="shared" si="0"/>
        <v/>
      </c>
      <c r="I88" s="34"/>
      <c r="J88" s="34"/>
      <c r="K88" s="35"/>
    </row>
    <row r="89" spans="1:21">
      <c r="A89" s="116"/>
      <c r="B89" s="116"/>
      <c r="C89" s="116"/>
      <c r="D89" s="120"/>
      <c r="E89" s="121"/>
      <c r="F89" s="122"/>
      <c r="G89" s="117"/>
      <c r="H89" s="34" t="str">
        <f t="shared" si="0"/>
        <v/>
      </c>
      <c r="I89" s="34"/>
      <c r="J89" s="34"/>
      <c r="K89" s="35"/>
    </row>
    <row r="90" spans="1:21">
      <c r="A90" s="116"/>
      <c r="B90" s="116"/>
      <c r="C90" s="116"/>
      <c r="D90" s="120"/>
      <c r="E90" s="121"/>
      <c r="F90" s="122"/>
      <c r="G90" s="117"/>
      <c r="H90" s="34" t="str">
        <f t="shared" si="0"/>
        <v/>
      </c>
      <c r="I90" s="34"/>
      <c r="J90" s="34"/>
      <c r="K90" s="35"/>
    </row>
    <row r="91" spans="1:21">
      <c r="A91" s="116"/>
      <c r="B91" s="116"/>
      <c r="C91" s="116"/>
      <c r="D91" s="120"/>
      <c r="E91" s="121"/>
      <c r="F91" s="122"/>
      <c r="G91" s="117"/>
      <c r="H91" s="34" t="str">
        <f t="shared" si="0"/>
        <v/>
      </c>
      <c r="I91" s="34"/>
      <c r="J91" s="34"/>
      <c r="K91" s="35"/>
    </row>
    <row r="92" spans="1:21">
      <c r="A92" s="116"/>
      <c r="B92" s="116"/>
      <c r="C92" s="116"/>
      <c r="D92" s="120"/>
      <c r="E92" s="121"/>
      <c r="F92" s="122"/>
      <c r="G92" s="117"/>
      <c r="H92" s="34" t="str">
        <f t="shared" si="0"/>
        <v/>
      </c>
      <c r="I92" s="34"/>
      <c r="J92" s="34"/>
      <c r="K92" s="35"/>
    </row>
    <row r="93" spans="1:21">
      <c r="A93" s="116"/>
      <c r="B93" s="116"/>
      <c r="C93" s="116"/>
      <c r="D93" s="120"/>
      <c r="E93" s="121"/>
      <c r="F93" s="122"/>
      <c r="G93" s="117"/>
      <c r="H93" s="34" t="str">
        <f t="shared" si="0"/>
        <v/>
      </c>
      <c r="I93" s="34"/>
      <c r="J93" s="34"/>
      <c r="K93" s="35"/>
    </row>
    <row r="94" spans="1:21">
      <c r="A94" s="116"/>
      <c r="B94" s="116"/>
      <c r="C94" s="116"/>
      <c r="D94" s="120"/>
      <c r="E94" s="121"/>
      <c r="F94" s="122"/>
      <c r="G94" s="117"/>
      <c r="H94" s="34" t="str">
        <f t="shared" si="0"/>
        <v/>
      </c>
      <c r="I94" s="34"/>
      <c r="J94" s="34"/>
      <c r="K94" s="35"/>
    </row>
    <row r="95" spans="1:21">
      <c r="A95" s="116"/>
      <c r="B95" s="116"/>
      <c r="C95" s="116"/>
      <c r="D95" s="120"/>
      <c r="E95" s="121"/>
      <c r="F95" s="122"/>
      <c r="G95" s="117"/>
      <c r="H95" s="34" t="str">
        <f t="shared" si="0"/>
        <v/>
      </c>
      <c r="I95" s="34"/>
      <c r="J95" s="34"/>
      <c r="K95" s="35"/>
    </row>
    <row r="96" spans="1:21">
      <c r="A96" s="116"/>
      <c r="B96" s="116"/>
      <c r="C96" s="116"/>
      <c r="D96" s="120"/>
      <c r="E96" s="121"/>
      <c r="F96" s="122"/>
      <c r="G96" s="117"/>
      <c r="H96" s="34" t="str">
        <f t="shared" si="0"/>
        <v/>
      </c>
      <c r="I96" s="34"/>
      <c r="J96" s="34"/>
      <c r="K96" s="35"/>
    </row>
    <row r="97" spans="1:11">
      <c r="A97" s="116"/>
      <c r="B97" s="116"/>
      <c r="C97" s="116"/>
      <c r="D97" s="120"/>
      <c r="E97" s="121"/>
      <c r="F97" s="122"/>
      <c r="G97" s="117"/>
      <c r="H97" s="34" t="str">
        <f t="shared" si="0"/>
        <v/>
      </c>
      <c r="I97" s="34"/>
      <c r="J97" s="34"/>
      <c r="K97" s="35"/>
    </row>
    <row r="98" spans="1:11">
      <c r="A98" s="116"/>
      <c r="B98" s="116"/>
      <c r="C98" s="116"/>
      <c r="D98" s="120"/>
      <c r="E98" s="121"/>
      <c r="F98" s="122"/>
      <c r="G98" s="117"/>
      <c r="H98" s="34" t="str">
        <f t="shared" si="0"/>
        <v/>
      </c>
      <c r="I98" s="34"/>
      <c r="J98" s="34"/>
      <c r="K98" s="35"/>
    </row>
    <row r="99" spans="1:11">
      <c r="A99" s="116"/>
      <c r="B99" s="116"/>
      <c r="C99" s="116"/>
      <c r="D99" s="120"/>
      <c r="E99" s="121"/>
      <c r="F99" s="122"/>
      <c r="G99" s="117"/>
      <c r="H99" s="34" t="str">
        <f t="shared" si="0"/>
        <v/>
      </c>
      <c r="I99" s="34"/>
      <c r="J99" s="34"/>
      <c r="K99" s="35"/>
    </row>
    <row r="100" spans="1:11">
      <c r="A100" s="116"/>
      <c r="B100" s="116"/>
      <c r="C100" s="116"/>
      <c r="D100" s="120"/>
      <c r="E100" s="121"/>
      <c r="F100" s="122"/>
      <c r="G100" s="117"/>
      <c r="H100" s="34" t="str">
        <f t="shared" si="0"/>
        <v/>
      </c>
      <c r="I100" s="34"/>
      <c r="J100" s="34"/>
      <c r="K100" s="35"/>
    </row>
    <row r="101" spans="1:11">
      <c r="A101" s="116"/>
      <c r="B101" s="116"/>
      <c r="C101" s="116"/>
      <c r="D101" s="120"/>
      <c r="E101" s="121"/>
      <c r="F101" s="122"/>
      <c r="G101" s="117"/>
      <c r="H101" s="34" t="str">
        <f t="shared" si="0"/>
        <v/>
      </c>
      <c r="I101" s="34"/>
      <c r="J101" s="34"/>
      <c r="K101" s="35"/>
    </row>
    <row r="102" spans="1:11" ht="18" customHeight="1">
      <c r="A102" s="44" t="s">
        <v>86</v>
      </c>
      <c r="B102" s="45"/>
      <c r="C102" s="45"/>
      <c r="D102" s="46"/>
      <c r="E102" s="46"/>
      <c r="F102" s="47"/>
      <c r="G102" s="92">
        <f>SUM(G84:G101)</f>
        <v>0</v>
      </c>
      <c r="H102" s="23"/>
      <c r="I102" s="23"/>
      <c r="J102" s="23"/>
      <c r="K102" s="24"/>
    </row>
    <row r="103" spans="1:11">
      <c r="A103" s="36" t="s">
        <v>87</v>
      </c>
      <c r="B103" s="34"/>
      <c r="C103" s="34"/>
      <c r="D103" s="37"/>
      <c r="E103" s="34"/>
      <c r="F103" s="54"/>
      <c r="G103" s="98"/>
      <c r="H103" s="34"/>
      <c r="I103" s="34"/>
      <c r="J103" s="34"/>
      <c r="K103" s="35"/>
    </row>
    <row r="104" spans="1:11">
      <c r="A104" s="55"/>
      <c r="B104" s="42"/>
      <c r="C104" s="42"/>
      <c r="D104" s="42"/>
      <c r="E104" s="42"/>
      <c r="F104" s="42"/>
      <c r="G104" s="99"/>
      <c r="H104" s="42"/>
      <c r="I104" s="42"/>
      <c r="J104" s="42"/>
      <c r="K104" s="43"/>
    </row>
    <row r="105" spans="1:11" ht="42" customHeight="1" thickBot="1"/>
    <row r="106" spans="1:11" ht="24" customHeight="1" thickBot="1">
      <c r="A106" s="18" t="s">
        <v>88</v>
      </c>
      <c r="B106" s="58"/>
      <c r="C106" s="58"/>
      <c r="D106" s="58"/>
      <c r="E106" s="58"/>
      <c r="F106" s="58"/>
      <c r="G106" s="59"/>
      <c r="H106" s="58"/>
      <c r="I106" s="58"/>
      <c r="J106" s="58"/>
      <c r="K106" s="61"/>
    </row>
    <row r="107" spans="1:11">
      <c r="A107" s="36"/>
      <c r="B107" s="34"/>
      <c r="C107" s="34"/>
      <c r="D107" s="34"/>
      <c r="E107" s="34"/>
      <c r="F107" s="34"/>
      <c r="G107" s="94"/>
      <c r="H107" s="34"/>
      <c r="I107" s="34"/>
      <c r="J107" s="34"/>
      <c r="K107" s="35"/>
    </row>
    <row r="108" spans="1:11">
      <c r="A108" s="56" t="s">
        <v>89</v>
      </c>
      <c r="B108" s="57"/>
      <c r="C108" s="57"/>
      <c r="D108" s="57"/>
      <c r="E108" s="57"/>
      <c r="F108" s="57"/>
      <c r="G108" s="100">
        <f>G102</f>
        <v>0</v>
      </c>
      <c r="H108" s="57"/>
      <c r="I108" s="34"/>
      <c r="J108" s="34"/>
      <c r="K108" s="35"/>
    </row>
    <row r="109" spans="1:11">
      <c r="A109" s="90" t="s">
        <v>80</v>
      </c>
      <c r="B109" s="57"/>
      <c r="C109" s="57"/>
      <c r="D109" s="57"/>
      <c r="E109" s="57"/>
      <c r="F109" s="57"/>
      <c r="G109" s="100">
        <f>-G79</f>
        <v>0</v>
      </c>
      <c r="H109" s="57"/>
      <c r="I109" s="34"/>
      <c r="J109" s="34"/>
      <c r="K109" s="35"/>
    </row>
    <row r="110" spans="1:11">
      <c r="A110" s="56" t="s">
        <v>90</v>
      </c>
      <c r="B110" s="57"/>
      <c r="C110" s="57"/>
      <c r="D110" s="57"/>
      <c r="E110" s="57"/>
      <c r="F110" s="57"/>
      <c r="G110" s="100">
        <f>G45</f>
        <v>0</v>
      </c>
      <c r="H110" s="57"/>
      <c r="I110" s="34"/>
      <c r="J110" s="34"/>
      <c r="K110" s="35"/>
    </row>
    <row r="111" spans="1:11" ht="21" customHeight="1">
      <c r="A111" s="48" t="s">
        <v>91</v>
      </c>
      <c r="B111" s="49"/>
      <c r="C111" s="49"/>
      <c r="D111" s="49"/>
      <c r="E111" s="49"/>
      <c r="F111" s="49"/>
      <c r="G111" s="67">
        <f>SUM(G108:G110)</f>
        <v>0</v>
      </c>
      <c r="H111" s="85"/>
      <c r="I111" s="107">
        <f>IF(G111=0,0,G111/G102)</f>
        <v>0</v>
      </c>
      <c r="J111" s="89" t="s">
        <v>13</v>
      </c>
      <c r="K111" s="24"/>
    </row>
    <row r="112" spans="1:11">
      <c r="A112" s="55"/>
      <c r="B112" s="42"/>
      <c r="C112" s="42"/>
      <c r="D112" s="42"/>
      <c r="E112" s="42"/>
      <c r="F112" s="42"/>
      <c r="G112" s="99"/>
      <c r="H112" s="42"/>
      <c r="I112" s="42"/>
      <c r="J112" s="42"/>
      <c r="K112" s="43"/>
    </row>
    <row r="113" spans="1:11" ht="51" customHeight="1"/>
    <row r="115" spans="1:11">
      <c r="A115" s="62"/>
      <c r="B115" s="7"/>
      <c r="C115" s="7"/>
      <c r="D115" s="7"/>
      <c r="E115" s="7"/>
      <c r="F115" s="7"/>
      <c r="G115" s="63"/>
      <c r="H115" s="7"/>
      <c r="I115" s="7"/>
      <c r="J115" s="7"/>
      <c r="K115" s="8"/>
    </row>
    <row r="116" spans="1:11" ht="21" customHeight="1">
      <c r="A116" s="104" t="s">
        <v>92</v>
      </c>
      <c r="B116" s="78"/>
      <c r="C116" s="78"/>
      <c r="D116" s="78"/>
      <c r="E116" s="140"/>
      <c r="F116" s="139"/>
      <c r="G116" s="105" t="s">
        <v>93</v>
      </c>
      <c r="K116" s="9"/>
    </row>
    <row r="117" spans="1:11" ht="21" customHeight="1">
      <c r="A117" s="77"/>
      <c r="B117" s="78"/>
      <c r="C117" s="78"/>
      <c r="D117" s="78"/>
      <c r="E117" s="78"/>
      <c r="F117" s="78"/>
      <c r="G117" s="79"/>
      <c r="K117" s="9"/>
    </row>
    <row r="118" spans="1:11" ht="21" customHeight="1">
      <c r="A118" s="104" t="s">
        <v>94</v>
      </c>
      <c r="B118" s="138"/>
      <c r="C118" s="139"/>
      <c r="D118" s="78"/>
      <c r="E118" s="78"/>
      <c r="F118" s="78"/>
      <c r="G118" s="79"/>
      <c r="K118" s="9"/>
    </row>
    <row r="119" spans="1:11" ht="21" customHeight="1">
      <c r="A119" s="80"/>
      <c r="B119" s="81"/>
      <c r="C119" s="81"/>
      <c r="D119" s="81"/>
      <c r="E119" s="81"/>
      <c r="F119" s="81"/>
      <c r="G119" s="82"/>
      <c r="H119" s="10"/>
      <c r="I119" s="10"/>
      <c r="J119" s="10"/>
      <c r="K119" s="11"/>
    </row>
  </sheetData>
  <mergeCells count="27">
    <mergeCell ref="D100:F100"/>
    <mergeCell ref="B118:C118"/>
    <mergeCell ref="E116:F116"/>
    <mergeCell ref="D99:F99"/>
    <mergeCell ref="D90:F90"/>
    <mergeCell ref="D96:F96"/>
    <mergeCell ref="D101:F101"/>
    <mergeCell ref="D95:F95"/>
    <mergeCell ref="D98:F98"/>
    <mergeCell ref="D94:F94"/>
    <mergeCell ref="D97:F97"/>
    <mergeCell ref="D91:F91"/>
    <mergeCell ref="D93:F93"/>
    <mergeCell ref="D92:F92"/>
    <mergeCell ref="D89:F89"/>
    <mergeCell ref="H7:I7"/>
    <mergeCell ref="D85:F85"/>
    <mergeCell ref="A2:K2"/>
    <mergeCell ref="E4:K4"/>
    <mergeCell ref="D88:F88"/>
    <mergeCell ref="D84:F84"/>
    <mergeCell ref="H8:I8"/>
    <mergeCell ref="D86:F86"/>
    <mergeCell ref="E5:I5"/>
    <mergeCell ref="D87:F87"/>
    <mergeCell ref="D83:F83"/>
    <mergeCell ref="E6:F6"/>
  </mergeCells>
  <printOptions horizontalCentered="1"/>
  <pageMargins left="0.2" right="0.31" top="0.35" bottom="0.35" header="0.31" footer="0.31"/>
  <pageSetup paperSize="9" scale="59" firstPageNumber="0" fitToHeight="2" orientation="portrait" horizontalDpi="4294967293" verticalDpi="4294967293"/>
  <headerFooter>
    <oddHeader>&amp;C&amp;K800000Private and Confidential</oddHeader>
    <oddFooter>&amp;L&amp;K2F4B2CForm IPAD/F/01 Rev 04/18</oddFooter>
  </headerFooter>
  <rowBreaks count="1" manualBreakCount="1">
    <brk id="81" max="10" man="1"/>
  </rowBreak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IPAD Foundation</vt:lpstr>
      <vt:lpstr>Costs</vt:lpstr>
      <vt:lpstr>GDV</vt:lpstr>
      <vt:lpstr>'IPAD Foundation'!Print_Area</vt:lpstr>
      <vt:lpstr>'IPAD Foundation'!Print_Titles</vt:lpstr>
      <vt:lpstr>Profit</vt:lpstr>
      <vt:lpstr>RefurbCost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propertyCEO</dc:creator>
  <cp:lastModifiedBy>Andy Boudier</cp:lastModifiedBy>
  <cp:revision>0</cp:revision>
  <cp:lastPrinted>2018-04-25T05:47:46Z</cp:lastPrinted>
  <dcterms:created xsi:type="dcterms:W3CDTF">2013-02-13T10:05:31Z</dcterms:created>
  <dcterms:modified xsi:type="dcterms:W3CDTF">2026-08-28T13:26:35Z</dcterms:modified>
  <dc:language>en-GB</dc:language>
</cp:coreProperties>
</file>